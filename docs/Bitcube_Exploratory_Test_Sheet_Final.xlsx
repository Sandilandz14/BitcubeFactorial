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andileTukani\Downloads\"/>
    </mc:Choice>
  </mc:AlternateContent>
  <xr:revisionPtr revIDLastSave="0" documentId="8_{1E3B3366-F1A4-470D-8315-C0E6F869E5C3}" xr6:coauthVersionLast="47" xr6:coauthVersionMax="47" xr10:uidLastSave="{00000000-0000-0000-0000-000000000000}"/>
  <bookViews>
    <workbookView xWindow="-108" yWindow="-108" windowWidth="23256" windowHeight="12456" xr2:uid="{00000000-000D-0000-FFFF-FFFF00000000}"/>
  </bookViews>
  <sheets>
    <sheet name="Session Guide" sheetId="1" r:id="rId1"/>
    <sheet name="Exploratory Scenarios" sheetId="2" r:id="rId2"/>
    <sheet name="Defect Log" sheetId="3" r:id="rId3"/>
    <sheet name="Reference List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1" l="1"/>
  <c r="B18" i="1"/>
  <c r="B17" i="1"/>
  <c r="B16" i="1"/>
  <c r="B15" i="1"/>
</calcChain>
</file>

<file path=xl/sharedStrings.xml><?xml version="1.0" encoding="utf-8"?>
<sst xmlns="http://schemas.openxmlformats.org/spreadsheetml/2006/main" count="544" uniqueCount="322">
  <si>
    <t>Application</t>
  </si>
  <si>
    <t>Factorial Calculator</t>
  </si>
  <si>
    <t>Live session sequence</t>
  </si>
  <si>
    <t>URL</t>
  </si>
  <si>
    <t>http://qainterview.pythonanywhere.com</t>
  </si>
  <si>
    <t>1</t>
  </si>
  <si>
    <t>Start recording; state environment, URL and objective.</t>
  </si>
  <si>
    <t>Tester</t>
  </si>
  <si>
    <t>Sandile Tukani</t>
  </si>
  <si>
    <t>2</t>
  </si>
  <si>
    <t>Open DevTools and preserve the Network log.</t>
  </si>
  <si>
    <t>Execution date</t>
  </si>
  <si>
    <t>3</t>
  </si>
  <si>
    <t>Execute scenarios in ID order; narrate observations.</t>
  </si>
  <si>
    <t>Browser / version</t>
  </si>
  <si>
    <t>4</t>
  </si>
  <si>
    <t>Capture evidence immediately when behaviour differs from expected.</t>
  </si>
  <si>
    <t>Operating system</t>
  </si>
  <si>
    <t>5</t>
  </si>
  <si>
    <t>Record Actual Result, Status and Defect ID in the scenario sheet.</t>
  </si>
  <si>
    <t>Viewport</t>
  </si>
  <si>
    <t>6</t>
  </si>
  <si>
    <t>Do not call an observation a defect until it is reproducible and justified.</t>
  </si>
  <si>
    <t>Recording filename</t>
  </si>
  <si>
    <t>7</t>
  </si>
  <si>
    <t>End by summarising passes, failures, blocked tests and top risks.</t>
  </si>
  <si>
    <t>Metric</t>
  </si>
  <si>
    <t>Count</t>
  </si>
  <si>
    <t>Status definitions</t>
  </si>
  <si>
    <t>Total scenarios</t>
  </si>
  <si>
    <t>Pass</t>
  </si>
  <si>
    <t>Observed behaviour matches the expected result.</t>
  </si>
  <si>
    <t>Passed</t>
  </si>
  <si>
    <t>Fail</t>
  </si>
  <si>
    <t>Observed behaviour differs from expectation and may expose a defect.</t>
  </si>
  <si>
    <t>Failed</t>
  </si>
  <si>
    <t>Blocked</t>
  </si>
  <si>
    <t>Execution could not be completed because of a stated dependency or environment issue.</t>
  </si>
  <si>
    <t>Not Run</t>
  </si>
  <si>
    <t>Scenario has not yet been executed.</t>
  </si>
  <si>
    <t>Observation</t>
  </si>
  <si>
    <t>Record uncertainty in Notes; do not force a defect conclusion.</t>
  </si>
  <si>
    <t>Test ID</t>
  </si>
  <si>
    <t>Area</t>
  </si>
  <si>
    <t>Priority</t>
  </si>
  <si>
    <t>Test Data</t>
  </si>
  <si>
    <t>Steps</t>
  </si>
  <si>
    <t>Expected Result</t>
  </si>
  <si>
    <t>Actual Result</t>
  </si>
  <si>
    <t>Status</t>
  </si>
  <si>
    <t>Defect ID</t>
  </si>
  <si>
    <t>EXP-001</t>
  </si>
  <si>
    <t>Page &amp; UI</t>
  </si>
  <si>
    <t>High</t>
  </si>
  <si>
    <t>Load the calculator page</t>
  </si>
  <si>
    <t>Fresh browser session</t>
  </si>
  <si>
    <t>1. Open the application URL.
2. Wait for the page to finish loading.
3. Observe the page and console.</t>
  </si>
  <si>
    <t>Page loads without a server error; the calculator form, heading and footer are visible and usable.</t>
  </si>
  <si>
    <t>EXP-002</t>
  </si>
  <si>
    <t>Medium</t>
  </si>
  <si>
    <t>Verify browser-tab title</t>
  </si>
  <si>
    <t>Application loaded</t>
  </si>
  <si>
    <t>1. Read the browser-tab title.
2. Compare spelling with the application purpose.</t>
  </si>
  <si>
    <t>Title is correctly spelled and clearly identifies the Factorial Calculator.</t>
  </si>
  <si>
    <t>EXP-003</t>
  </si>
  <si>
    <t>Verify heading and instructional copy</t>
  </si>
  <si>
    <t>1. Read the main heading.
2. Read the input guidance and button text.
3. Check clarity and consistency.</t>
  </si>
  <si>
    <t>Content is accurate, grammatically clear and consistently describes integer factorial calculation.</t>
  </si>
  <si>
    <t>EXP-004</t>
  </si>
  <si>
    <t>Accessibility</t>
  </si>
  <si>
    <t>Verify programmatic label for number input</t>
  </si>
  <si>
    <t>DevTools Elements panel available</t>
  </si>
  <si>
    <t>1. Inspect the input element.
2. Check for an associated label, aria-label or aria-labelledby.
3. Confirm the accessible name.</t>
  </si>
  <si>
    <t>Input has a persistent, programmatically associated and descriptive accessible name.</t>
  </si>
  <si>
    <t>EXP-005</t>
  </si>
  <si>
    <t>Keyboard-only form operation</t>
  </si>
  <si>
    <t>Application loaded; mouse not used</t>
  </si>
  <si>
    <t>1. Press Tab through interactive controls.
2. Confirm focus order and visible focus.
3. Enter 5.
4. Submit using keyboard.</t>
  </si>
  <si>
    <t>Focus order is logical, focus is visible, and the calculation can be completed using only the keyboard.</t>
  </si>
  <si>
    <t>EXP-006</t>
  </si>
  <si>
    <t>Calculation</t>
  </si>
  <si>
    <t>Critical</t>
  </si>
  <si>
    <t>Calculate 0 factorial</t>
  </si>
  <si>
    <t>0</t>
  </si>
  <si>
    <t>1. Enter 0.
2. Select Calculate.
3. Observe the result.</t>
  </si>
  <si>
    <t>The application displays 0! = 1 without a validation error.</t>
  </si>
  <si>
    <t>EXP-007</t>
  </si>
  <si>
    <t>Calculate 1 factorial</t>
  </si>
  <si>
    <t>1. Enter 1.
2. Select Calculate.
3. Observe the result.</t>
  </si>
  <si>
    <t>The application displays 1! = 1.</t>
  </si>
  <si>
    <t>EXP-008</t>
  </si>
  <si>
    <t>Calculate a small valid integer</t>
  </si>
  <si>
    <t>1. Enter 5.
2. Select Calculate.
3. Observe the result.</t>
  </si>
  <si>
    <t>The application displays 5! = 120.</t>
  </si>
  <si>
    <t>EXP-009</t>
  </si>
  <si>
    <t>Calculate a two-digit valid integer</t>
  </si>
  <si>
    <t>10</t>
  </si>
  <si>
    <t>1. Enter 10.
2. Select Calculate.
3. Observe the result.</t>
  </si>
  <si>
    <t>The application displays 10! = 3628800 accurately.</t>
  </si>
  <si>
    <t>MAND-02</t>
  </si>
  <si>
    <t>Mandatory</t>
  </si>
  <si>
    <t>Calculate factorial of 12</t>
  </si>
  <si>
    <t>12</t>
  </si>
  <si>
    <t>1. Enter 12.
2. Select Calculate.
3. Wait for the result.
4. Compare the exact value.</t>
  </si>
  <si>
    <t>The application displays exactly 12! = 479001600 and no validation error.</t>
  </si>
  <si>
    <t>EXP-011</t>
  </si>
  <si>
    <t>Repeat the same valid calculation</t>
  </si>
  <si>
    <t>5, submitted twice</t>
  </si>
  <si>
    <t>1. Calculate 5!.
2. Submit 5 again.
3. Compare both outcomes.</t>
  </si>
  <si>
    <t>Repeated submissions produce the same correct result without duplicate or stale messages.</t>
  </si>
  <si>
    <t>EXP-012</t>
  </si>
  <si>
    <t>Calculate two different values sequentially</t>
  </si>
  <si>
    <t>5 followed by 6</t>
  </si>
  <si>
    <t>1. Calculate 5!.
2. Replace the input with 6.
3. Calculate again.</t>
  </si>
  <si>
    <t>The first result is replaced by the correct result 6! = 720; no stale value remains.</t>
  </si>
  <si>
    <t>EXP-013</t>
  </si>
  <si>
    <t>Validation</t>
  </si>
  <si>
    <t>Submit an empty input</t>
  </si>
  <si>
    <t>Empty</t>
  </si>
  <si>
    <t>1. Clear the input.
2. Select Calculate.
3. Observe UI and network activity.</t>
  </si>
  <si>
    <t>Submission is prevented or rejected with a clear integer-required message; no calculation request is sent with an empty value.</t>
  </si>
  <si>
    <t>EXP-014</t>
  </si>
  <si>
    <t>Submit whitespace only</t>
  </si>
  <si>
    <t>Three spaces</t>
  </si>
  <si>
    <t>1. Enter spaces only.
2. Select Calculate.
3. Observe validation and request behaviour.</t>
  </si>
  <si>
    <t>Whitespace is treated as empty/invalid, a clear message appears, and no invalid calculation is returned.</t>
  </si>
  <si>
    <t>EXP-015</t>
  </si>
  <si>
    <t>Submit alphabetic input</t>
  </si>
  <si>
    <t>abc</t>
  </si>
  <si>
    <t>1. Enter abc.
2. Select Calculate.
3. Observe the response.</t>
  </si>
  <si>
    <t>Alphabetic input is rejected with a clear validation message and no factorial result.</t>
  </si>
  <si>
    <t>EXP-016</t>
  </si>
  <si>
    <t>Submit alphanumeric input</t>
  </si>
  <si>
    <t>12abc</t>
  </si>
  <si>
    <t>1. Enter 12abc.
2. Select Calculate.
3. Observe the response.</t>
  </si>
  <si>
    <t>Mixed alphanumeric input is rejected; it is not partially parsed as 12.</t>
  </si>
  <si>
    <t>EXP-017</t>
  </si>
  <si>
    <t>Submit a negative integer</t>
  </si>
  <si>
    <t>-1</t>
  </si>
  <si>
    <t>1. Enter -1.
2. Select Calculate.
3. Observe validation, result and response.</t>
  </si>
  <si>
    <t>Negative input is rejected because factorial is not defined for negative integers in this calculator context.</t>
  </si>
  <si>
    <t>EXP-018</t>
  </si>
  <si>
    <t>Submit a decimal number</t>
  </si>
  <si>
    <t>3.5</t>
  </si>
  <si>
    <t>1. Enter 3.5.
2. Select Calculate.
3. Observe the response.</t>
  </si>
  <si>
    <t>Decimal input is rejected with a clear integer-only validation message.</t>
  </si>
  <si>
    <t>EXP-019</t>
  </si>
  <si>
    <t>Submit special characters</t>
  </si>
  <si>
    <t>@#$</t>
  </si>
  <si>
    <t>1. Enter @#$.
2. Select Calculate.
3. Observe the response.</t>
  </si>
  <si>
    <t>Special characters are rejected safely; no server error or executable output occurs.</t>
  </si>
  <si>
    <t>EXP-020</t>
  </si>
  <si>
    <t>Submit scientific notation</t>
  </si>
  <si>
    <t>1e3</t>
  </si>
  <si>
    <t>Input is rejected unless scientific notation is explicitly supported and safely within the documented range; it must not be misinterpreted.</t>
  </si>
  <si>
    <t>EXP-021</t>
  </si>
  <si>
    <t>Submit an explicitly positive integer</t>
  </si>
  <si>
    <t>+5</t>
  </si>
  <si>
    <t>1. Enter +5.
2. Select Calculate.
3. Observe interpretation.</t>
  </si>
  <si>
    <t>The application handles the value consistently with its integer-input rules, without a server error or ambiguous result.</t>
  </si>
  <si>
    <t>EXP-022</t>
  </si>
  <si>
    <t>Submit an integer with leading zeros</t>
  </si>
  <si>
    <t>0005</t>
  </si>
  <si>
    <t>1. Enter 0005.
2. Select Calculate.
3. Observe the result and displayed value.</t>
  </si>
  <si>
    <t>Input is safely interpreted as integer 5 and returns 120, or a clear validation rule explains rejection.</t>
  </si>
  <si>
    <t>EXP-023</t>
  </si>
  <si>
    <t>Submit valid input with surrounding spaces</t>
  </si>
  <si>
    <t>1. Paste a 5 with leading/trailing spaces.
2. Select Calculate.
3. Observe handling.</t>
  </si>
  <si>
    <t>Whitespace is trimmed and 120 is returned, or the user receives a clear validation message; no incorrect value/server error occurs.</t>
  </si>
  <si>
    <t>EXP-024</t>
  </si>
  <si>
    <t>Boundary</t>
  </si>
  <si>
    <t>Probe the supported upper boundary</t>
  </si>
  <si>
    <t>Incrementally test 50, 100, 170 and nearby values</t>
  </si>
  <si>
    <t>1. Test progressively larger integers.
2. Stop if performance or stability degrades.
3. Record the last correct result and first rejected/incorrect result.</t>
  </si>
  <si>
    <t>The application either returns mathematically accurate values within its supported range or clearly rejects values beyond a defined limit without crashing.</t>
  </si>
  <si>
    <t>EXP-025</t>
  </si>
  <si>
    <t>Submit an extremely large integer</t>
  </si>
  <si>
    <t>A controlled 100–300 digit integer</t>
  </si>
  <si>
    <t>1. Paste the value.
2. Submit once.
3. Observe responsiveness, response and error handling.</t>
  </si>
  <si>
    <t>The application rejects excessive input promptly and gracefully; UI and service remain responsive.</t>
  </si>
  <si>
    <t>EXP-026</t>
  </si>
  <si>
    <t>Security &amp; Validation</t>
  </si>
  <si>
    <t>Submit an HTML/script-like string</t>
  </si>
  <si>
    <t>&lt;script&gt;alert(1)&lt;/script&gt;</t>
  </si>
  <si>
    <t>1. Paste the string.
2. Submit.
3. Inspect rendered output and console.</t>
  </si>
  <si>
    <t>Input is rejected or safely encoded; no script executes and no raw unsafe HTML is injected.</t>
  </si>
  <si>
    <t>EXP-027</t>
  </si>
  <si>
    <t>Submit a SQL-like string</t>
  </si>
  <si>
    <t>' OR 1=1 --</t>
  </si>
  <si>
    <t>1. Paste the string.
2. Submit.
3. Observe UI and response.</t>
  </si>
  <si>
    <t>Input is safely rejected; no internal error, data disclosure or abnormal behaviour occurs.</t>
  </si>
  <si>
    <t>MAND-01</t>
  </si>
  <si>
    <t>Verify invalid form-validation styling</t>
  </si>
  <si>
    <t>abc, then 5</t>
  </si>
  <si>
    <t>1. Enter abc and submit.
2. Inspect error text, CSS class/computed styles and accessibility attributes.
3. Replace with 5 and submit.
4. Confirm invalid styling clears.</t>
  </si>
  <si>
    <t>Invalid state is visually clear and accessible; error styling is applied consistently and removed after valid correction.</t>
  </si>
  <si>
    <t>EXP-029</t>
  </si>
  <si>
    <t>Correct invalid input after an error</t>
  </si>
  <si>
    <t>abc followed by 5</t>
  </si>
  <si>
    <t>1. Trigger an invalid-input error with abc.
2. Replace it with 5.
3. Calculate again.</t>
  </si>
  <si>
    <t>The old error clears and the correct result 120 is displayed without needing a refresh.</t>
  </si>
  <si>
    <t>EXP-030</t>
  </si>
  <si>
    <t>Links</t>
  </si>
  <si>
    <t>Verify About link</t>
  </si>
  <si>
    <t>Select About</t>
  </si>
  <si>
    <t>1. Record the link href.
2. Open the link.
3. Verify destination, status and relevance.
4. Return to calculator.</t>
  </si>
  <si>
    <t>About opens the intended working page and does not lose calculator availability unexpectedly.</t>
  </si>
  <si>
    <t>EXP-031</t>
  </si>
  <si>
    <t>Verify Terms and Conditions link</t>
  </si>
  <si>
    <t>Select Terms and Conditions</t>
  </si>
  <si>
    <t>1. Record the href.
2. Open the link.
3. Verify page heading/content and URL.</t>
  </si>
  <si>
    <t>The link opens the Terms and Conditions page at the correct route.</t>
  </si>
  <si>
    <t>EXP-032</t>
  </si>
  <si>
    <t>Verify Privacy link</t>
  </si>
  <si>
    <t>Select Privacy</t>
  </si>
  <si>
    <t>The link opens the Privacy page at the correct route.</t>
  </si>
  <si>
    <t>EXP-033</t>
  </si>
  <si>
    <t>Verify external Qxf2 Services link</t>
  </si>
  <si>
    <t>Select Qxf2 Services</t>
  </si>
  <si>
    <t>1. Record href and target behaviour.
2. Open the link.
3. Verify destination and transport security.</t>
  </si>
  <si>
    <t>The external link opens the intended legitimate destination successfully and uses an appropriate secure URL.</t>
  </si>
  <si>
    <t>EXP-034</t>
  </si>
  <si>
    <t>Low</t>
  </si>
  <si>
    <t>Verify copyright text</t>
  </si>
  <si>
    <t>Footer copyright</t>
  </si>
  <si>
    <t>1. Read the copyright owner and year/range.
2. Check for duplication, stale year or formatting errors.</t>
  </si>
  <si>
    <t>Copyright is current, correctly formatted and identifies the owner without a redundant range.</t>
  </si>
  <si>
    <t>MAND-03</t>
  </si>
  <si>
    <t>Verify factorial request method, endpoint, headers and parameter</t>
  </si>
  <si>
    <t>1. Open DevTools Network and preserve log.
2. Enter 12.
3. Submit.
4. Inspect the calculation request.
5. Record method, endpoint, content type, relevant headers, parameter name/value, response status and body.</t>
  </si>
  <si>
    <t>A single well-formed request sends the integer using the intended parameter and encoding; headers are appropriate; response is successful and corresponds to 12!.</t>
  </si>
  <si>
    <t>EXP-036</t>
  </si>
  <si>
    <t>API &amp; Reliability</t>
  </si>
  <si>
    <t>Verify invalid input request handling</t>
  </si>
  <si>
    <t>1. Preserve Network log.
2. Submit abc.
3. Determine whether a request is sent.
4. Inspect any response status and body.</t>
  </si>
  <si>
    <t>Invalid input is blocked client-side or rejected with a controlled 4xx-style response; no 5xx error or sensitive internal details are exposed.</t>
  </si>
  <si>
    <t>EXP-037</t>
  </si>
  <si>
    <t>Reliability</t>
  </si>
  <si>
    <t>Rapid repeated submission</t>
  </si>
  <si>
    <t>5; activate Calculate several times quickly</t>
  </si>
  <si>
    <t>1. Enter 5.
2. Activate Calculate rapidly 3–5 times.
3. Observe requests, result and UI state.</t>
  </si>
  <si>
    <t>Application remains stable, shows one consistent result and avoids harmful duplicate processing or unhandled errors.</t>
  </si>
  <si>
    <t>EXP-038</t>
  </si>
  <si>
    <t>Compatibility</t>
  </si>
  <si>
    <t>Responsive layout and zoom</t>
  </si>
  <si>
    <t>Desktop, narrow viewport, 200% zoom</t>
  </si>
  <si>
    <t>1. Check desktop layout.
2. Resize to a narrow mobile-like viewport.
3. Check at 200% browser zoom.
4. Inspect form, result and footer.</t>
  </si>
  <si>
    <t>Content remains readable and operable with no clipping, overlap or horizontal obstruction at supported viewport/zoom levels.</t>
  </si>
  <si>
    <t>EXP-039</t>
  </si>
  <si>
    <t>Refresh and browser navigation behaviour</t>
  </si>
  <si>
    <t>Completed 5! calculation</t>
  </si>
  <si>
    <t>1. Calculate 5!.
2. Refresh.
3. Use Back and Forward after visiting a footer page.
4. Observe state and errors.</t>
  </si>
  <si>
    <t>Refresh and browser navigation do not produce errors or misleading stale state; returning to the calculator leaves it usable.</t>
  </si>
  <si>
    <t>Title</t>
  </si>
  <si>
    <t>Related Test ID(s)</t>
  </si>
  <si>
    <t>Environment</t>
  </si>
  <si>
    <t>Preconditions</t>
  </si>
  <si>
    <t>Steps to Reproduce</t>
  </si>
  <si>
    <t>Severity</t>
  </si>
  <si>
    <t>Reproducibility</t>
  </si>
  <si>
    <t>Evidence Reference</t>
  </si>
  <si>
    <t>BUG-001</t>
  </si>
  <si>
    <t>Open</t>
  </si>
  <si>
    <t>BUG-002</t>
  </si>
  <si>
    <t>BUG-003</t>
  </si>
  <si>
    <t>BUG-004</t>
  </si>
  <si>
    <t>BUG-005</t>
  </si>
  <si>
    <t>Meaning</t>
  </si>
  <si>
    <t>Core calculation, availability or serious security failure</t>
  </si>
  <si>
    <t>Urgent</t>
  </si>
  <si>
    <t>Must be addressed immediately</t>
  </si>
  <si>
    <t>Major functional, validation or navigation failure</t>
  </si>
  <si>
    <t>Important for the next release</t>
  </si>
  <si>
    <t>Meaningful usability, compatibility or accessibility impact</t>
  </si>
  <si>
    <t>Schedule after higher-risk work</t>
  </si>
  <si>
    <t>Minor content or cosmetic issue with limited impact</t>
  </si>
  <si>
    <t>Fix when practical</t>
  </si>
  <si>
    <t>Video</t>
  </si>
  <si>
    <t xml:space="preserve">Bitcube QA Engineer Task : Exploratory Testing </t>
  </si>
  <si>
    <t xml:space="preserve">Windows </t>
  </si>
  <si>
    <t>Reference : Suggested interpretation</t>
  </si>
  <si>
    <t>Defect Log</t>
  </si>
  <si>
    <t>Exploratory Test Sheet : 40 Focused Scenarios</t>
  </si>
  <si>
    <t xml:space="preserve">Execution summary </t>
  </si>
  <si>
    <t>Actual result: The input has no programmatically associated label or ARIA accessible name. It relies solely on the placeholder “Enter an integer.”</t>
  </si>
  <si>
    <t>Browser-tab title displays “Factoriall” instead of “Factorial.”</t>
  </si>
  <si>
    <t>Browser-tab title misspells “Factorial” as “Factoriall”</t>
  </si>
  <si>
    <t>The browser-tab title should be correctly spelled and clearly identify the application, for example, “Factorial Calculator.”</t>
  </si>
  <si>
    <t>The title displays “Factoriall.”</t>
  </si>
  <si>
    <t>QA Interview application; Chrome; Windows 10/11; http://qainterview.pythonanywhere.com</t>
  </si>
  <si>
    <t>Application is accessible and loaded in Chrome.</t>
  </si>
  <si>
    <t>1. Navigate to the application URL. 2. Wait for the page to load. 3. Observe the title displayed in the browser tab.</t>
  </si>
  <si>
    <t>Always</t>
  </si>
  <si>
    <t>screenshot-1</t>
  </si>
  <si>
    <t>Application is loaded and Chrome DevTools is available.</t>
  </si>
  <si>
    <t>1. Open the application. 2. Open Chrome DevTools. 3. Inspect the number input. 4. Check for an associated &lt;label&gt;, aria-label, or aria-labelledby attribute.</t>
  </si>
  <si>
    <t>Factorial input has no programmatically associated accessible label</t>
  </si>
  <si>
    <t>The input should have a persistent, descriptive and programmatically associated accessible label.</t>
  </si>
  <si>
    <r>
      <t xml:space="preserve">The input has no associated </t>
    </r>
    <r>
      <rPr>
        <sz val="10"/>
        <rFont val="Arial Unicode MS"/>
      </rPr>
      <t>&lt;label&gt;</t>
    </r>
    <r>
      <rPr>
        <sz val="11"/>
        <rFont val="Carlito"/>
      </rPr>
      <t xml:space="preserve">, </t>
    </r>
    <r>
      <rPr>
        <sz val="10"/>
        <rFont val="Arial Unicode MS"/>
      </rPr>
      <t>aria-label</t>
    </r>
    <r>
      <rPr>
        <sz val="11"/>
        <rFont val="Carlito"/>
      </rPr>
      <t xml:space="preserve">, or </t>
    </r>
    <r>
      <rPr>
        <sz val="10"/>
        <rFont val="Arial Unicode MS"/>
      </rPr>
      <t>aria-labelledby</t>
    </r>
    <r>
      <rPr>
        <sz val="11"/>
        <rFont val="Carlito"/>
      </rPr>
      <t>. It relies only on the placeholder “Enter an integer.</t>
    </r>
  </si>
  <si>
    <t>One XHR request was generated when Calculate was selected. A POST request was sent to https://qainterview.pythonanywhere.com/factorial with the content type application/x-www-form-urlencoded; charset=UTF-8. The form-data parameter was number=12. The server returned 200 OK with an application/json response containing {"answer":479001600}, and the UI displayed the correct result, 479001600.</t>
  </si>
  <si>
    <t>The alphabetic value abc was rejected through client-side validation. The input displayed a red invalid-state border and the message “Please enter an integer.” No factorial XHR request was sent, no backend error response occurred, and no internal server information was exposed.</t>
  </si>
  <si>
    <t>The Calculate button was activated five times rapidly for the input 5. Five corresponding factorial XHR requests were generated, and all returned HTTP 200. The application remained responsive and displayed one consistent, mathematically correct result: 120. No conflicting result or unhandled error occurred.</t>
  </si>
  <si>
    <t>The footer displays the redundant copyright range “© Qxf2 Services 2026 - 2026.” DOM inspection confirms that both sides of the range are dynamically populated with the current year. The linked Qxf2 website instead displays “© Qxf2 Services 2013 - 2026.”</t>
  </si>
  <si>
    <t>Footer displays redundant same-year copyright range</t>
  </si>
  <si>
    <t>Application is accessible and loaded.</t>
  </si>
  <si>
    <t>1. Open the factorial calculator. 2. Scroll to the footer. 3. Read the copyright text. 4. Inspect the copyright element in DevTools.</t>
  </si>
  <si>
    <t>Copyright text should use a meaningful format without a redundant same-year range, such as “© Qxf2 Services 2026” or, if representing operating history, “© Qxf2 Services 2013–2026.”</t>
  </si>
  <si>
    <t>The footer displays “© Qxf2 Services 2026 - 2026.” Both years are generated using new Date().getFullYear(), resulting in identical values.</t>
  </si>
  <si>
    <t>video</t>
  </si>
  <si>
    <t>Evidence</t>
  </si>
  <si>
    <t>1. Enter 1c3.
2. Select Calculate.
3. Observe interpretation.</t>
  </si>
  <si>
    <t>The link opens the terms page.</t>
  </si>
  <si>
    <t xml:space="preserve">The link opens the privacy page </t>
  </si>
  <si>
    <t xml:space="preserve">Scenario </t>
  </si>
  <si>
    <t xml:space="preserve">The Terms and Conditions  link opens the privacy page </t>
  </si>
  <si>
    <t>The Privacy link opens the terms page.</t>
  </si>
  <si>
    <t>1. Open the application. 2. Navigate to footer 3. Click the Terms and Conditions link 4. Validate it redirects correctly</t>
  </si>
  <si>
    <t>1. Open the application. 2. Navigate to footer 3. Click the Privacy link 4. Validate it redirects correctly</t>
  </si>
  <si>
    <t xml:space="preserve">The Terms and Conditions  link opens the Terms and Conditions page </t>
  </si>
  <si>
    <t xml:space="preserve">The Privacy  link opens the privacy page </t>
  </si>
  <si>
    <t>The privacy link opens the terms and conditions page</t>
  </si>
  <si>
    <t>screenshot-2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</si>
</sst>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name val="Carlito"/>
    </font>
    <font>
      <sz val="10"/>
      <color rgb="FF1F2937"/>
      <name val="Aptos"/>
    </font>
    <font>
      <b/>
      <sz val="18"/>
      <color rgb="FFFFFFFF"/>
      <name val="Aptos Display"/>
    </font>
    <font>
      <i/>
      <sz val="10"/>
      <color rgb="FF17365D"/>
      <name val="Aptos"/>
    </font>
    <font>
      <b/>
      <sz val="10"/>
      <color rgb="FFFFFFFF"/>
      <name val="Aptos"/>
    </font>
    <font>
      <b/>
      <sz val="10"/>
      <color rgb="FF17365D"/>
      <name val="Aptos"/>
    </font>
    <font>
      <b/>
      <sz val="18"/>
      <color rgb="FFFFFFFF"/>
      <name val="Arial Nova"/>
      <family val="2"/>
    </font>
    <font>
      <sz val="11"/>
      <name val="Arial Nova"/>
      <family val="2"/>
    </font>
    <font>
      <i/>
      <sz val="10"/>
      <color rgb="FF17365D"/>
      <name val="Arial Nova"/>
      <family val="2"/>
    </font>
    <font>
      <sz val="10"/>
      <color rgb="FF1F2937"/>
      <name val="Arial Nova"/>
      <family val="2"/>
    </font>
    <font>
      <b/>
      <sz val="10"/>
      <color rgb="FFFFFFFF"/>
      <name val="Arial Nova"/>
      <family val="2"/>
    </font>
    <font>
      <sz val="10"/>
      <color rgb="FFFF0000"/>
      <name val="Arial Nova"/>
      <family val="2"/>
    </font>
    <font>
      <sz val="10"/>
      <name val="Arial Nova"/>
      <family val="2"/>
    </font>
    <font>
      <sz val="10"/>
      <color rgb="FF1F2937"/>
      <name val="Aptos"/>
      <family val="2"/>
    </font>
    <font>
      <b/>
      <sz val="10"/>
      <color rgb="FFFFFFFF"/>
      <name val="Aptos"/>
      <family val="2"/>
    </font>
    <font>
      <sz val="10"/>
      <name val="Arial Unicode MS"/>
    </font>
    <font>
      <sz val="10"/>
      <color rgb="FF00B050"/>
      <name val="Arial Nova"/>
      <family val="2"/>
    </font>
  </fonts>
  <fills count="11">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
      <patternFill patternType="solid">
        <fgColor rgb="FFF7FAFC"/>
      </patternFill>
    </fill>
    <fill>
      <patternFill patternType="solid">
        <fgColor rgb="FFFFF7D6"/>
      </patternFill>
    </fill>
    <fill>
      <patternFill patternType="solid">
        <fgColor rgb="FF00B050"/>
        <bgColor indexed="64"/>
      </patternFill>
    </fill>
    <fill>
      <patternFill patternType="solid">
        <fgColor rgb="FFFF0000"/>
        <bgColor indexed="64"/>
      </patternFill>
    </fill>
    <fill>
      <patternFill patternType="solid">
        <fgColor theme="9"/>
        <bgColor indexed="64"/>
      </patternFill>
    </fill>
    <fill>
      <patternFill patternType="solid">
        <fgColor theme="0"/>
        <bgColor indexed="64"/>
      </patternFill>
    </fill>
  </fills>
  <borders count="9">
    <border>
      <left/>
      <right/>
      <top/>
      <bottom/>
      <diagonal/>
    </border>
    <border>
      <left style="thin">
        <color rgb="FFAFC6D9"/>
      </left>
      <right/>
      <top style="thin">
        <color rgb="FFAFC6D9"/>
      </top>
      <bottom/>
      <diagonal/>
    </border>
    <border>
      <left/>
      <right style="thin">
        <color rgb="FFAFC6D9"/>
      </right>
      <top style="thin">
        <color rgb="FFAFC6D9"/>
      </top>
      <bottom/>
      <diagonal/>
    </border>
    <border>
      <left style="thin">
        <color rgb="FFAFC6D9"/>
      </left>
      <right/>
      <top/>
      <bottom/>
      <diagonal/>
    </border>
    <border>
      <left/>
      <right style="thin">
        <color rgb="FFAFC6D9"/>
      </right>
      <top/>
      <bottom/>
      <diagonal/>
    </border>
    <border>
      <left style="thin">
        <color rgb="FFAFC6D9"/>
      </left>
      <right/>
      <top/>
      <bottom style="thin">
        <color rgb="FFAFC6D9"/>
      </bottom>
      <diagonal/>
    </border>
    <border>
      <left/>
      <right style="thin">
        <color rgb="FFAFC6D9"/>
      </right>
      <top/>
      <bottom style="thin">
        <color rgb="FFAFC6D9"/>
      </bottom>
      <diagonal/>
    </border>
    <border>
      <left/>
      <right/>
      <top style="thin">
        <color rgb="FFAFC6D9"/>
      </top>
      <bottom/>
      <diagonal/>
    </border>
    <border>
      <left/>
      <right/>
      <top/>
      <bottom style="thin">
        <color rgb="FFAFC6D9"/>
      </bottom>
      <diagonal/>
    </border>
  </borders>
  <cellStyleXfs count="1">
    <xf numFmtId="0" fontId="0" fillId="0" borderId="0"/>
  </cellStyleXfs>
  <cellXfs count="54">
    <xf numFmtId="0" fontId="0" fillId="0" borderId="0" xfId="0"/>
    <xf numFmtId="0" fontId="1" fillId="0" borderId="0" xfId="0" applyFont="1"/>
    <xf numFmtId="0" fontId="4" fillId="4" borderId="0" xfId="0" applyFont="1" applyFill="1" applyAlignment="1">
      <alignment horizontal="center" vertical="center" wrapText="1"/>
    </xf>
    <xf numFmtId="0" fontId="1" fillId="0" borderId="0" xfId="0" applyFont="1" applyAlignment="1">
      <alignment wrapText="1"/>
    </xf>
    <xf numFmtId="0" fontId="1" fillId="0" borderId="0" xfId="0" applyFont="1" applyAlignment="1">
      <alignment vertical="top" wrapText="1"/>
    </xf>
    <xf numFmtId="0" fontId="4" fillId="4" borderId="1" xfId="0" applyFont="1" applyFill="1" applyBorder="1" applyAlignment="1">
      <alignment wrapText="1"/>
    </xf>
    <xf numFmtId="0" fontId="4" fillId="4" borderId="7" xfId="0" applyFont="1" applyFill="1" applyBorder="1" applyAlignment="1">
      <alignment wrapText="1"/>
    </xf>
    <xf numFmtId="0" fontId="4" fillId="4" borderId="2" xfId="0" applyFont="1" applyFill="1" applyBorder="1" applyAlignment="1">
      <alignment wrapText="1"/>
    </xf>
    <xf numFmtId="0" fontId="1" fillId="0" borderId="4" xfId="0" applyFont="1" applyBorder="1" applyAlignment="1">
      <alignment wrapText="1"/>
    </xf>
    <xf numFmtId="0" fontId="1" fillId="0" borderId="6" xfId="0" applyFont="1" applyBorder="1" applyAlignment="1">
      <alignment wrapText="1"/>
    </xf>
    <xf numFmtId="0" fontId="1" fillId="0" borderId="8" xfId="0" applyFont="1" applyBorder="1" applyAlignment="1">
      <alignment wrapText="1"/>
    </xf>
    <xf numFmtId="0" fontId="5" fillId="5" borderId="1" xfId="0" applyFont="1" applyFill="1" applyBorder="1" applyAlignment="1">
      <alignment vertical="top" wrapText="1"/>
    </xf>
    <xf numFmtId="0" fontId="1" fillId="0" borderId="2" xfId="0" applyFont="1" applyBorder="1" applyAlignment="1">
      <alignment vertical="top" wrapText="1"/>
    </xf>
    <xf numFmtId="0" fontId="4" fillId="4" borderId="1" xfId="0" applyFont="1" applyFill="1" applyBorder="1" applyAlignment="1">
      <alignment vertical="top" wrapText="1"/>
    </xf>
    <xf numFmtId="0" fontId="4" fillId="4" borderId="2" xfId="0" applyFont="1" applyFill="1" applyBorder="1" applyAlignment="1">
      <alignment vertical="top" wrapText="1"/>
    </xf>
    <xf numFmtId="0" fontId="5" fillId="5" borderId="3" xfId="0" applyFont="1" applyFill="1" applyBorder="1" applyAlignment="1">
      <alignment vertical="top" wrapText="1"/>
    </xf>
    <xf numFmtId="0" fontId="1" fillId="0" borderId="4" xfId="0" applyFont="1" applyBorder="1" applyAlignment="1">
      <alignment vertical="top" wrapText="1"/>
    </xf>
    <xf numFmtId="0" fontId="1" fillId="0" borderId="3" xfId="0" applyFont="1" applyBorder="1" applyAlignment="1">
      <alignment vertical="top" wrapText="1"/>
    </xf>
    <xf numFmtId="0" fontId="5" fillId="5" borderId="5" xfId="0" applyFont="1" applyFill="1" applyBorder="1" applyAlignment="1">
      <alignment vertical="top" wrapText="1"/>
    </xf>
    <xf numFmtId="0" fontId="1" fillId="0" borderId="6" xfId="0" applyFont="1" applyBorder="1" applyAlignment="1">
      <alignment vertical="top" wrapText="1"/>
    </xf>
    <xf numFmtId="0" fontId="1" fillId="0" borderId="5" xfId="0" applyFont="1" applyBorder="1" applyAlignment="1">
      <alignment vertical="top" wrapText="1"/>
    </xf>
    <xf numFmtId="0" fontId="1" fillId="0" borderId="8" xfId="0" applyFont="1" applyBorder="1" applyAlignment="1">
      <alignment vertical="top" wrapText="1"/>
    </xf>
    <xf numFmtId="1" fontId="5" fillId="6" borderId="4" xfId="0" applyNumberFormat="1" applyFont="1" applyFill="1" applyBorder="1" applyAlignment="1">
      <alignment horizontal="center" vertical="top" wrapText="1"/>
    </xf>
    <xf numFmtId="1" fontId="5" fillId="6" borderId="6" xfId="0" applyNumberFormat="1" applyFont="1" applyFill="1" applyBorder="1" applyAlignment="1">
      <alignment horizontal="center" vertical="top" wrapText="1"/>
    </xf>
    <xf numFmtId="0" fontId="5" fillId="0" borderId="3" xfId="0" applyFont="1" applyBorder="1" applyAlignment="1">
      <alignment wrapText="1"/>
    </xf>
    <xf numFmtId="0" fontId="5" fillId="0" borderId="0" xfId="0" applyFont="1" applyAlignment="1">
      <alignment wrapText="1"/>
    </xf>
    <xf numFmtId="0" fontId="5" fillId="0" borderId="5" xfId="0" applyFont="1" applyBorder="1" applyAlignment="1">
      <alignment wrapText="1"/>
    </xf>
    <xf numFmtId="0" fontId="5" fillId="0" borderId="8" xfId="0" applyFont="1" applyBorder="1" applyAlignment="1">
      <alignment wrapText="1"/>
    </xf>
    <xf numFmtId="0" fontId="2" fillId="2" borderId="0" xfId="0" applyFont="1" applyFill="1" applyAlignment="1">
      <alignment horizontal="left" vertical="center"/>
    </xf>
    <xf numFmtId="0" fontId="2" fillId="2" borderId="0" xfId="0" applyFont="1" applyFill="1" applyAlignment="1">
      <alignment horizontal="left" vertical="top" wrapText="1"/>
    </xf>
    <xf numFmtId="0" fontId="4" fillId="4" borderId="1" xfId="0" applyFont="1" applyFill="1" applyBorder="1" applyAlignment="1">
      <alignment vertical="top" wrapText="1"/>
    </xf>
    <xf numFmtId="0" fontId="4" fillId="4" borderId="7" xfId="0" applyFont="1" applyFill="1" applyBorder="1" applyAlignment="1">
      <alignment vertical="top" wrapText="1"/>
    </xf>
    <xf numFmtId="0" fontId="4" fillId="4" borderId="2" xfId="0" applyFont="1" applyFill="1" applyBorder="1" applyAlignment="1">
      <alignment vertical="top" wrapText="1"/>
    </xf>
    <xf numFmtId="0" fontId="4" fillId="4" borderId="0" xfId="0" applyFont="1" applyFill="1" applyAlignment="1">
      <alignment vertical="top" wrapText="1"/>
    </xf>
    <xf numFmtId="0" fontId="3" fillId="3" borderId="0" xfId="0" applyFont="1" applyFill="1" applyAlignment="1">
      <alignment wrapText="1"/>
    </xf>
    <xf numFmtId="0" fontId="2" fillId="2" borderId="0" xfId="0" applyFont="1" applyFill="1" applyAlignment="1">
      <alignment horizontal="left" vertical="center" wrapText="1"/>
    </xf>
    <xf numFmtId="0" fontId="6" fillId="2" borderId="0" xfId="0" applyFont="1" applyFill="1" applyAlignment="1">
      <alignment horizontal="left" vertical="center"/>
    </xf>
    <xf numFmtId="0" fontId="7" fillId="0" borderId="0" xfId="0" applyFont="1"/>
    <xf numFmtId="0" fontId="8" fillId="3" borderId="0" xfId="0" applyFont="1" applyFill="1" applyAlignment="1">
      <alignment vertical="center" wrapText="1"/>
    </xf>
    <xf numFmtId="0" fontId="9" fillId="0" borderId="0" xfId="0" applyFont="1"/>
    <xf numFmtId="0" fontId="10" fillId="4" borderId="0" xfId="0" applyFont="1" applyFill="1" applyAlignment="1">
      <alignment horizontal="center" vertical="center" wrapText="1"/>
    </xf>
    <xf numFmtId="0" fontId="9" fillId="0" borderId="0" xfId="0" applyFont="1" applyAlignment="1">
      <alignment horizontal="center" vertical="top" wrapText="1"/>
    </xf>
    <xf numFmtId="0" fontId="9" fillId="0" borderId="0" xfId="0" applyFont="1" applyAlignment="1">
      <alignment vertical="top" wrapText="1"/>
    </xf>
    <xf numFmtId="0" fontId="9" fillId="7" borderId="0" xfId="0" applyFont="1" applyFill="1" applyAlignment="1">
      <alignment vertical="top" wrapText="1"/>
    </xf>
    <xf numFmtId="0" fontId="11" fillId="0" borderId="0" xfId="0" applyFont="1" applyAlignment="1">
      <alignment vertical="top" wrapText="1"/>
    </xf>
    <xf numFmtId="0" fontId="12" fillId="8" borderId="0" xfId="0" applyFont="1" applyFill="1" applyAlignment="1">
      <alignment vertical="top" wrapText="1"/>
    </xf>
    <xf numFmtId="0" fontId="14" fillId="4" borderId="0" xfId="0" applyFont="1" applyFill="1" applyAlignment="1">
      <alignment horizontal="center" vertical="center" wrapText="1"/>
    </xf>
    <xf numFmtId="0" fontId="0" fillId="0" borderId="0" xfId="0" applyFont="1"/>
    <xf numFmtId="0" fontId="13" fillId="0" borderId="0" xfId="0" applyFont="1" applyAlignment="1">
      <alignment vertical="top" wrapText="1"/>
    </xf>
    <xf numFmtId="0" fontId="9" fillId="8" borderId="0" xfId="0" applyFont="1" applyFill="1" applyAlignment="1">
      <alignment vertical="top" wrapText="1"/>
    </xf>
    <xf numFmtId="0" fontId="16" fillId="0" borderId="0" xfId="0" applyFont="1" applyAlignment="1">
      <alignment vertical="top" wrapText="1"/>
    </xf>
    <xf numFmtId="0" fontId="12" fillId="7" borderId="0" xfId="0" applyFont="1" applyFill="1" applyAlignment="1">
      <alignment vertical="top" wrapText="1"/>
    </xf>
    <xf numFmtId="0" fontId="9" fillId="9" borderId="0" xfId="0" applyFont="1" applyFill="1" applyAlignment="1">
      <alignment vertical="top" wrapText="1"/>
    </xf>
    <xf numFmtId="0" fontId="11" fillId="10" borderId="0" xfId="0" applyFont="1" applyFill="1" applyAlignment="1">
      <alignment vertical="top" wrapText="1"/>
    </xf>
  </cellXfs>
  <cellStyles count="1">
    <cellStyle name="Normal" xfId="0" builtinId="0"/>
  </cellStyles>
  <dxfs count="20">
    <dxf>
      <font>
        <b/>
        <color rgb="FF7A4E00"/>
      </font>
      <fill>
        <patternFill patternType="solid">
          <bgColor rgb="FFFFF7D6"/>
        </patternFill>
      </fill>
    </dxf>
    <dxf>
      <font>
        <b/>
        <color rgb="FF7A4E00"/>
      </font>
      <fill>
        <patternFill patternType="solid">
          <bgColor rgb="FFFFF7D6"/>
        </patternFill>
      </fill>
    </dxf>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
      <font>
        <b/>
        <color rgb="FF7A4E00"/>
      </font>
      <fill>
        <patternFill patternType="solid">
          <bgColor rgb="FFFFF7D6"/>
        </patternFill>
      </fill>
    </dxf>
    <dxf>
      <font>
        <strike val="0"/>
        <outline val="0"/>
        <shadow val="0"/>
        <u val="none"/>
        <vertAlign val="baseline"/>
        <name val="Arial Nova"/>
        <family val="2"/>
        <scheme val="none"/>
      </font>
    </dxf>
    <dxf>
      <font>
        <b val="0"/>
        <i val="0"/>
        <strike val="0"/>
        <condense val="0"/>
        <extend val="0"/>
        <outline val="0"/>
        <shadow val="0"/>
        <u val="none"/>
        <vertAlign val="baseline"/>
        <sz val="10"/>
        <color rgb="FF1F2937"/>
        <name val="Aptos"/>
        <scheme val="none"/>
      </font>
      <alignment horizontal="general" vertical="top" textRotation="0" wrapText="1" indent="0" justifyLastLine="0" shrinkToFit="0" readingOrder="0"/>
    </dxf>
    <dxf>
      <font>
        <strike val="0"/>
        <outline val="0"/>
        <shadow val="0"/>
        <u val="none"/>
        <vertAlign val="baseline"/>
        <name val="Arial Nova"/>
        <family val="2"/>
        <scheme val="none"/>
      </font>
    </dxf>
    <dxf>
      <font>
        <strike val="0"/>
        <outline val="0"/>
        <shadow val="0"/>
        <u val="none"/>
        <vertAlign val="baseline"/>
        <name val="Arial Nova"/>
        <family val="2"/>
        <scheme val="none"/>
      </font>
    </dxf>
    <dxf>
      <font>
        <strike val="0"/>
        <outline val="0"/>
        <shadow val="0"/>
        <u val="none"/>
        <vertAlign val="baseline"/>
        <name val="Arial Nova"/>
        <family val="2"/>
        <scheme val="none"/>
      </font>
    </dxf>
    <dxf>
      <font>
        <strike val="0"/>
        <outline val="0"/>
        <shadow val="0"/>
        <u val="none"/>
        <vertAlign val="baseline"/>
        <name val="Arial Nova"/>
        <family val="2"/>
        <scheme val="none"/>
      </font>
    </dxf>
    <dxf>
      <font>
        <strike val="0"/>
        <outline val="0"/>
        <shadow val="0"/>
        <u val="none"/>
        <vertAlign val="baseline"/>
        <name val="Arial Nova"/>
        <family val="2"/>
        <scheme val="none"/>
      </font>
    </dxf>
    <dxf>
      <font>
        <strike val="0"/>
        <outline val="0"/>
        <shadow val="0"/>
        <u val="none"/>
        <vertAlign val="baseline"/>
        <name val="Arial Nova"/>
        <family val="2"/>
        <scheme val="none"/>
      </font>
    </dxf>
    <dxf>
      <font>
        <strike val="0"/>
        <outline val="0"/>
        <shadow val="0"/>
        <u val="none"/>
        <vertAlign val="baseline"/>
        <name val="Arial Nova"/>
        <family val="2"/>
        <scheme val="none"/>
      </font>
    </dxf>
    <dxf>
      <font>
        <strike val="0"/>
        <outline val="0"/>
        <shadow val="0"/>
        <u val="none"/>
        <vertAlign val="baseline"/>
        <name val="Arial Nova"/>
        <family val="2"/>
        <scheme val="none"/>
      </font>
    </dxf>
    <dxf>
      <font>
        <strike val="0"/>
        <outline val="0"/>
        <shadow val="0"/>
        <u val="none"/>
        <vertAlign val="baseline"/>
        <name val="Arial Nova"/>
        <family val="2"/>
        <scheme val="none"/>
      </font>
    </dxf>
    <dxf>
      <font>
        <strike val="0"/>
        <outline val="0"/>
        <shadow val="0"/>
        <u val="none"/>
        <vertAlign val="baseline"/>
        <name val="Arial Nova"/>
        <family val="2"/>
        <scheme val="none"/>
      </font>
    </dxf>
    <dxf>
      <font>
        <strike val="0"/>
        <outline val="0"/>
        <shadow val="0"/>
        <u val="none"/>
        <vertAlign val="baseline"/>
        <name val="Arial Nova"/>
        <family val="2"/>
        <scheme val="none"/>
      </font>
    </dxf>
    <dxf>
      <font>
        <strike val="0"/>
        <outline val="0"/>
        <shadow val="0"/>
        <u val="none"/>
        <vertAlign val="baseline"/>
        <name val="Arial Nova"/>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10</xdr:col>
      <xdr:colOff>129151</xdr:colOff>
      <xdr:row>4</xdr:row>
      <xdr:rowOff>136071</xdr:rowOff>
    </xdr:from>
    <xdr:to>
      <xdr:col>11</xdr:col>
      <xdr:colOff>1291062</xdr:colOff>
      <xdr:row>4</xdr:row>
      <xdr:rowOff>1033221</xdr:rowOff>
    </xdr:to>
    <xdr:pic>
      <xdr:nvPicPr>
        <xdr:cNvPr id="2" name="Picture 1">
          <a:extLst>
            <a:ext uri="{FF2B5EF4-FFF2-40B4-BE49-F238E27FC236}">
              <a16:creationId xmlns:a16="http://schemas.microsoft.com/office/drawing/2014/main" id="{72200114-0587-5237-D952-7889A041E6D0}"/>
            </a:ext>
          </a:extLst>
        </xdr:cNvPr>
        <xdr:cNvPicPr>
          <a:picLocks noChangeAspect="1"/>
        </xdr:cNvPicPr>
      </xdr:nvPicPr>
      <xdr:blipFill>
        <a:blip xmlns:r="http://schemas.openxmlformats.org/officeDocument/2006/relationships" r:embed="rId1"/>
        <a:stretch>
          <a:fillRect/>
        </a:stretch>
      </xdr:blipFill>
      <xdr:spPr>
        <a:xfrm>
          <a:off x="21546794" y="1156607"/>
          <a:ext cx="2155233" cy="897150"/>
        </a:xfrm>
        <a:prstGeom prst="rect">
          <a:avLst/>
        </a:prstGeom>
      </xdr:spPr>
    </xdr:pic>
    <xdr:clientData/>
  </xdr:twoCellAnchor>
  <xdr:twoCellAnchor editAs="oneCell">
    <xdr:from>
      <xdr:col>10</xdr:col>
      <xdr:colOff>167899</xdr:colOff>
      <xdr:row>5</xdr:row>
      <xdr:rowOff>38746</xdr:rowOff>
    </xdr:from>
    <xdr:to>
      <xdr:col>11</xdr:col>
      <xdr:colOff>1252319</xdr:colOff>
      <xdr:row>5</xdr:row>
      <xdr:rowOff>1071966</xdr:rowOff>
    </xdr:to>
    <xdr:pic>
      <xdr:nvPicPr>
        <xdr:cNvPr id="3" name="Picture 2">
          <a:extLst>
            <a:ext uri="{FF2B5EF4-FFF2-40B4-BE49-F238E27FC236}">
              <a16:creationId xmlns:a16="http://schemas.microsoft.com/office/drawing/2014/main" id="{AA0D8CD3-57E3-0F0A-EE1F-26A2DE2AEC26}"/>
            </a:ext>
          </a:extLst>
        </xdr:cNvPr>
        <xdr:cNvPicPr>
          <a:picLocks noChangeAspect="1"/>
        </xdr:cNvPicPr>
      </xdr:nvPicPr>
      <xdr:blipFill>
        <a:blip xmlns:r="http://schemas.openxmlformats.org/officeDocument/2006/relationships" r:embed="rId2"/>
        <a:stretch>
          <a:fillRect/>
        </a:stretch>
      </xdr:blipFill>
      <xdr:spPr>
        <a:xfrm>
          <a:off x="24254848" y="2156848"/>
          <a:ext cx="2092272" cy="1033220"/>
        </a:xfrm>
        <a:prstGeom prst="rect">
          <a:avLst/>
        </a:prstGeom>
      </xdr:spPr>
    </xdr:pic>
    <xdr:clientData/>
  </xdr:twoCellAnchor>
  <xdr:twoCellAnchor editAs="oneCell">
    <xdr:from>
      <xdr:col>10</xdr:col>
      <xdr:colOff>0</xdr:colOff>
      <xdr:row>6</xdr:row>
      <xdr:rowOff>0</xdr:rowOff>
    </xdr:from>
    <xdr:to>
      <xdr:col>11</xdr:col>
      <xdr:colOff>1265233</xdr:colOff>
      <xdr:row>6</xdr:row>
      <xdr:rowOff>1071966</xdr:rowOff>
    </xdr:to>
    <xdr:pic>
      <xdr:nvPicPr>
        <xdr:cNvPr id="4" name="Picture 3">
          <a:extLst>
            <a:ext uri="{FF2B5EF4-FFF2-40B4-BE49-F238E27FC236}">
              <a16:creationId xmlns:a16="http://schemas.microsoft.com/office/drawing/2014/main" id="{4247B9C4-6349-64F3-2E0C-48A11FDD8752}"/>
            </a:ext>
          </a:extLst>
        </xdr:cNvPr>
        <xdr:cNvPicPr>
          <a:picLocks noChangeAspect="1"/>
        </xdr:cNvPicPr>
      </xdr:nvPicPr>
      <xdr:blipFill>
        <a:blip xmlns:r="http://schemas.openxmlformats.org/officeDocument/2006/relationships" r:embed="rId3"/>
        <a:stretch>
          <a:fillRect/>
        </a:stretch>
      </xdr:blipFill>
      <xdr:spPr>
        <a:xfrm>
          <a:off x="24086949" y="3228814"/>
          <a:ext cx="2273085" cy="1071966"/>
        </a:xfrm>
        <a:prstGeom prst="rect">
          <a:avLst/>
        </a:prstGeom>
      </xdr:spPr>
    </xdr:pic>
    <xdr:clientData/>
  </xdr:twoCellAnchor>
  <xdr:twoCellAnchor editAs="oneCell">
    <xdr:from>
      <xdr:col>10</xdr:col>
      <xdr:colOff>1</xdr:colOff>
      <xdr:row>7</xdr:row>
      <xdr:rowOff>0</xdr:rowOff>
    </xdr:from>
    <xdr:to>
      <xdr:col>11</xdr:col>
      <xdr:colOff>1278149</xdr:colOff>
      <xdr:row>7</xdr:row>
      <xdr:rowOff>1033221</xdr:rowOff>
    </xdr:to>
    <xdr:pic>
      <xdr:nvPicPr>
        <xdr:cNvPr id="5" name="Picture 4">
          <a:extLst>
            <a:ext uri="{FF2B5EF4-FFF2-40B4-BE49-F238E27FC236}">
              <a16:creationId xmlns:a16="http://schemas.microsoft.com/office/drawing/2014/main" id="{9F29A6D4-F73F-FC05-10F0-1BC62C46155B}"/>
            </a:ext>
          </a:extLst>
        </xdr:cNvPr>
        <xdr:cNvPicPr>
          <a:picLocks noChangeAspect="1"/>
        </xdr:cNvPicPr>
      </xdr:nvPicPr>
      <xdr:blipFill>
        <a:blip xmlns:r="http://schemas.openxmlformats.org/officeDocument/2006/relationships" r:embed="rId4"/>
        <a:stretch>
          <a:fillRect/>
        </a:stretch>
      </xdr:blipFill>
      <xdr:spPr>
        <a:xfrm>
          <a:off x="24086950" y="4339525"/>
          <a:ext cx="2286000" cy="1033221"/>
        </a:xfrm>
        <a:prstGeom prst="rect">
          <a:avLst/>
        </a:prstGeom>
      </xdr:spPr>
    </xdr:pic>
    <xdr:clientData/>
  </xdr:twoCellAnchor>
  <xdr:twoCellAnchor editAs="oneCell">
    <xdr:from>
      <xdr:col>10</xdr:col>
      <xdr:colOff>0</xdr:colOff>
      <xdr:row>8</xdr:row>
      <xdr:rowOff>0</xdr:rowOff>
    </xdr:from>
    <xdr:to>
      <xdr:col>11</xdr:col>
      <xdr:colOff>1328661</xdr:colOff>
      <xdr:row>8</xdr:row>
      <xdr:rowOff>1083733</xdr:rowOff>
    </xdr:to>
    <xdr:pic>
      <xdr:nvPicPr>
        <xdr:cNvPr id="6" name="Picture 5">
          <a:extLst>
            <a:ext uri="{FF2B5EF4-FFF2-40B4-BE49-F238E27FC236}">
              <a16:creationId xmlns:a16="http://schemas.microsoft.com/office/drawing/2014/main" id="{3DDB5217-7A75-DFA6-716C-0F1717DB6BC7}"/>
            </a:ext>
          </a:extLst>
        </xdr:cNvPr>
        <xdr:cNvPicPr>
          <a:picLocks noChangeAspect="1"/>
        </xdr:cNvPicPr>
      </xdr:nvPicPr>
      <xdr:blipFill>
        <a:blip xmlns:r="http://schemas.openxmlformats.org/officeDocument/2006/relationships" r:embed="rId5"/>
        <a:stretch>
          <a:fillRect/>
        </a:stretch>
      </xdr:blipFill>
      <xdr:spPr>
        <a:xfrm>
          <a:off x="24113067" y="5486400"/>
          <a:ext cx="2353733" cy="1083733"/>
        </a:xfrm>
        <a:prstGeom prst="rect">
          <a:avLst/>
        </a:prstGeom>
      </xdr:spPr>
    </xdr:pic>
    <xdr:clientData/>
  </xdr:twoCellAnchor>
  <xdr:twoCellAnchor editAs="oneCell">
    <xdr:from>
      <xdr:col>14</xdr:col>
      <xdr:colOff>0</xdr:colOff>
      <xdr:row>8</xdr:row>
      <xdr:rowOff>0</xdr:rowOff>
    </xdr:from>
    <xdr:to>
      <xdr:col>18</xdr:col>
      <xdr:colOff>440267</xdr:colOff>
      <xdr:row>9</xdr:row>
      <xdr:rowOff>0</xdr:rowOff>
    </xdr:to>
    <xdr:pic>
      <xdr:nvPicPr>
        <xdr:cNvPr id="7" name="Picture 6">
          <a:extLst>
            <a:ext uri="{FF2B5EF4-FFF2-40B4-BE49-F238E27FC236}">
              <a16:creationId xmlns:a16="http://schemas.microsoft.com/office/drawing/2014/main" id="{46A80B08-EE42-8ABD-9E72-EFA433642CBC}"/>
            </a:ext>
          </a:extLst>
        </xdr:cNvPr>
        <xdr:cNvPicPr>
          <a:picLocks noChangeAspect="1"/>
        </xdr:cNvPicPr>
      </xdr:nvPicPr>
      <xdr:blipFill>
        <a:blip xmlns:r="http://schemas.openxmlformats.org/officeDocument/2006/relationships" r:embed="rId6"/>
        <a:stretch>
          <a:fillRect/>
        </a:stretch>
      </xdr:blipFill>
      <xdr:spPr>
        <a:xfrm>
          <a:off x="26822400" y="5486400"/>
          <a:ext cx="3149600" cy="1117600"/>
        </a:xfrm>
        <a:prstGeom prst="rect">
          <a:avLst/>
        </a:prstGeom>
      </xdr:spPr>
    </xdr:pic>
    <xdr:clientData/>
  </xdr:twoCellAnchor>
  <xdr:twoCellAnchor editAs="oneCell">
    <xdr:from>
      <xdr:col>19</xdr:col>
      <xdr:colOff>1</xdr:colOff>
      <xdr:row>8</xdr:row>
      <xdr:rowOff>118532</xdr:rowOff>
    </xdr:from>
    <xdr:to>
      <xdr:col>24</xdr:col>
      <xdr:colOff>101600</xdr:colOff>
      <xdr:row>9</xdr:row>
      <xdr:rowOff>4534</xdr:rowOff>
    </xdr:to>
    <xdr:pic>
      <xdr:nvPicPr>
        <xdr:cNvPr id="8" name="Picture 7">
          <a:extLst>
            <a:ext uri="{FF2B5EF4-FFF2-40B4-BE49-F238E27FC236}">
              <a16:creationId xmlns:a16="http://schemas.microsoft.com/office/drawing/2014/main" id="{BFA7C03C-A3CE-7AE9-1FD7-6DF02BC6E4DD}"/>
            </a:ext>
          </a:extLst>
        </xdr:cNvPr>
        <xdr:cNvPicPr>
          <a:picLocks noChangeAspect="1"/>
        </xdr:cNvPicPr>
      </xdr:nvPicPr>
      <xdr:blipFill>
        <a:blip xmlns:r="http://schemas.openxmlformats.org/officeDocument/2006/relationships" r:embed="rId7"/>
        <a:stretch>
          <a:fillRect/>
        </a:stretch>
      </xdr:blipFill>
      <xdr:spPr>
        <a:xfrm>
          <a:off x="30209068" y="5604932"/>
          <a:ext cx="3488265" cy="999067"/>
        </a:xfrm>
        <a:prstGeom prst="rect">
          <a:avLst/>
        </a:prstGeom>
      </xdr:spPr>
    </xdr:pic>
    <xdr:clientData/>
  </xdr:twoCellAnchor>
  <xdr:twoCellAnchor editAs="oneCell">
    <xdr:from>
      <xdr:col>25</xdr:col>
      <xdr:colOff>1</xdr:colOff>
      <xdr:row>8</xdr:row>
      <xdr:rowOff>-1</xdr:rowOff>
    </xdr:from>
    <xdr:to>
      <xdr:col>30</xdr:col>
      <xdr:colOff>67735</xdr:colOff>
      <xdr:row>8</xdr:row>
      <xdr:rowOff>1100666</xdr:rowOff>
    </xdr:to>
    <xdr:pic>
      <xdr:nvPicPr>
        <xdr:cNvPr id="9" name="Picture 8">
          <a:extLst>
            <a:ext uri="{FF2B5EF4-FFF2-40B4-BE49-F238E27FC236}">
              <a16:creationId xmlns:a16="http://schemas.microsoft.com/office/drawing/2014/main" id="{9F27C3E5-B563-7E26-5CB6-7265101FD4F3}"/>
            </a:ext>
          </a:extLst>
        </xdr:cNvPr>
        <xdr:cNvPicPr>
          <a:picLocks noChangeAspect="1"/>
        </xdr:cNvPicPr>
      </xdr:nvPicPr>
      <xdr:blipFill>
        <a:blip xmlns:r="http://schemas.openxmlformats.org/officeDocument/2006/relationships" r:embed="rId8"/>
        <a:stretch>
          <a:fillRect/>
        </a:stretch>
      </xdr:blipFill>
      <xdr:spPr>
        <a:xfrm>
          <a:off x="34273068" y="5486399"/>
          <a:ext cx="3454400" cy="1100667"/>
        </a:xfrm>
        <a:prstGeom prst="rect">
          <a:avLst/>
        </a:prstGeom>
      </xdr:spPr>
    </xdr:pic>
    <xdr:clientData/>
  </xdr:twoCellAnchor>
  <xdr:twoCellAnchor editAs="oneCell">
    <xdr:from>
      <xdr:col>10</xdr:col>
      <xdr:colOff>1</xdr:colOff>
      <xdr:row>17</xdr:row>
      <xdr:rowOff>0</xdr:rowOff>
    </xdr:from>
    <xdr:to>
      <xdr:col>11</xdr:col>
      <xdr:colOff>449037</xdr:colOff>
      <xdr:row>18</xdr:row>
      <xdr:rowOff>40821</xdr:rowOff>
    </xdr:to>
    <xdr:pic>
      <xdr:nvPicPr>
        <xdr:cNvPr id="10" name="Picture 9">
          <a:extLst>
            <a:ext uri="{FF2B5EF4-FFF2-40B4-BE49-F238E27FC236}">
              <a16:creationId xmlns:a16="http://schemas.microsoft.com/office/drawing/2014/main" id="{70D41165-4FA8-F671-3D68-79C34890318C}"/>
            </a:ext>
          </a:extLst>
        </xdr:cNvPr>
        <xdr:cNvPicPr>
          <a:picLocks noChangeAspect="1"/>
        </xdr:cNvPicPr>
      </xdr:nvPicPr>
      <xdr:blipFill>
        <a:blip xmlns:r="http://schemas.openxmlformats.org/officeDocument/2006/relationships" r:embed="rId9"/>
        <a:stretch>
          <a:fillRect/>
        </a:stretch>
      </xdr:blipFill>
      <xdr:spPr>
        <a:xfrm>
          <a:off x="20424322" y="15525750"/>
          <a:ext cx="1442358" cy="1156607"/>
        </a:xfrm>
        <a:prstGeom prst="rect">
          <a:avLst/>
        </a:prstGeom>
      </xdr:spPr>
    </xdr:pic>
    <xdr:clientData/>
  </xdr:twoCellAnchor>
  <xdr:twoCellAnchor editAs="oneCell">
    <xdr:from>
      <xdr:col>11</xdr:col>
      <xdr:colOff>639538</xdr:colOff>
      <xdr:row>17</xdr:row>
      <xdr:rowOff>27215</xdr:rowOff>
    </xdr:from>
    <xdr:to>
      <xdr:col>11</xdr:col>
      <xdr:colOff>1959430</xdr:colOff>
      <xdr:row>18</xdr:row>
      <xdr:rowOff>54428</xdr:rowOff>
    </xdr:to>
    <xdr:pic>
      <xdr:nvPicPr>
        <xdr:cNvPr id="11" name="Picture 10">
          <a:extLst>
            <a:ext uri="{FF2B5EF4-FFF2-40B4-BE49-F238E27FC236}">
              <a16:creationId xmlns:a16="http://schemas.microsoft.com/office/drawing/2014/main" id="{6DA2B2D4-0F5C-6748-A643-A300AAB6800D}"/>
            </a:ext>
          </a:extLst>
        </xdr:cNvPr>
        <xdr:cNvPicPr>
          <a:picLocks noChangeAspect="1"/>
        </xdr:cNvPicPr>
      </xdr:nvPicPr>
      <xdr:blipFill>
        <a:blip xmlns:r="http://schemas.openxmlformats.org/officeDocument/2006/relationships" r:embed="rId10"/>
        <a:stretch>
          <a:fillRect/>
        </a:stretch>
      </xdr:blipFill>
      <xdr:spPr>
        <a:xfrm>
          <a:off x="22057181" y="15552965"/>
          <a:ext cx="1319892" cy="1142999"/>
        </a:xfrm>
        <a:prstGeom prst="rect">
          <a:avLst/>
        </a:prstGeom>
      </xdr:spPr>
    </xdr:pic>
    <xdr:clientData/>
  </xdr:twoCellAnchor>
  <xdr:twoCellAnchor editAs="oneCell">
    <xdr:from>
      <xdr:col>11</xdr:col>
      <xdr:colOff>2109107</xdr:colOff>
      <xdr:row>17</xdr:row>
      <xdr:rowOff>1</xdr:rowOff>
    </xdr:from>
    <xdr:to>
      <xdr:col>13</xdr:col>
      <xdr:colOff>408214</xdr:colOff>
      <xdr:row>18</xdr:row>
      <xdr:rowOff>22825</xdr:rowOff>
    </xdr:to>
    <xdr:pic>
      <xdr:nvPicPr>
        <xdr:cNvPr id="12" name="Picture 11">
          <a:extLst>
            <a:ext uri="{FF2B5EF4-FFF2-40B4-BE49-F238E27FC236}">
              <a16:creationId xmlns:a16="http://schemas.microsoft.com/office/drawing/2014/main" id="{69CB102A-FD4B-8A04-93EB-4F760A14078F}"/>
            </a:ext>
          </a:extLst>
        </xdr:cNvPr>
        <xdr:cNvPicPr>
          <a:picLocks noChangeAspect="1"/>
        </xdr:cNvPicPr>
      </xdr:nvPicPr>
      <xdr:blipFill>
        <a:blip xmlns:r="http://schemas.openxmlformats.org/officeDocument/2006/relationships" r:embed="rId11"/>
        <a:stretch>
          <a:fillRect/>
        </a:stretch>
      </xdr:blipFill>
      <xdr:spPr>
        <a:xfrm>
          <a:off x="23526750" y="15525751"/>
          <a:ext cx="1632857" cy="113861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ploratoryScenarioTable" displayName="ExploratoryScenarioTable" ref="A4:K43" totalsRowShown="0" headerRowDxfId="9" dataDxfId="8">
  <tableColumns count="11">
    <tableColumn id="1" xr3:uid="{00000000-0010-0000-0000-000001000000}" name="Test ID" dataDxfId="19"/>
    <tableColumn id="2" xr3:uid="{00000000-0010-0000-0000-000002000000}" name="Area" dataDxfId="18"/>
    <tableColumn id="3" xr3:uid="{00000000-0010-0000-0000-000003000000}" name="Priority" dataDxfId="17"/>
    <tableColumn id="4" xr3:uid="{00000000-0010-0000-0000-000004000000}" name="Scenario " dataDxfId="16"/>
    <tableColumn id="5" xr3:uid="{00000000-0010-0000-0000-000005000000}" name="Test Data" dataDxfId="15"/>
    <tableColumn id="6" xr3:uid="{00000000-0010-0000-0000-000006000000}" name="Steps" dataDxfId="14"/>
    <tableColumn id="7" xr3:uid="{00000000-0010-0000-0000-000007000000}" name="Expected Result" dataDxfId="13"/>
    <tableColumn id="9" xr3:uid="{00000000-0010-0000-0000-000009000000}" name="Actual Result" dataDxfId="12"/>
    <tableColumn id="10" xr3:uid="{00000000-0010-0000-0000-00000A000000}" name="Status" dataDxfId="11"/>
    <tableColumn id="11" xr3:uid="{00000000-0010-0000-0000-00000B000000}" name="Defect ID" dataDxfId="10"/>
    <tableColumn id="12" xr3:uid="{49413DCC-48AF-4E87-89C0-7C67FF6D39E1}" name="Evidence"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efectLogTable" displayName="DefectLogTable" ref="A4:M9" totalsRowShown="0">
  <tableColumns count="13">
    <tableColumn id="1" xr3:uid="{00000000-0010-0000-0100-000001000000}" name="Defect ID"/>
    <tableColumn id="2" xr3:uid="{00000000-0010-0000-0100-000002000000}" name="Title" dataDxfId="7"/>
    <tableColumn id="3" xr3:uid="{00000000-0010-0000-0100-000003000000}" name="Related Test ID(s)"/>
    <tableColumn id="4" xr3:uid="{00000000-0010-0000-0100-000004000000}" name="Environment"/>
    <tableColumn id="5" xr3:uid="{00000000-0010-0000-0100-000005000000}" name="Preconditions"/>
    <tableColumn id="6" xr3:uid="{00000000-0010-0000-0100-000006000000}" name="Steps to Reproduce"/>
    <tableColumn id="7" xr3:uid="{00000000-0010-0000-0100-000007000000}" name="Expected Result"/>
    <tableColumn id="8" xr3:uid="{00000000-0010-0000-0100-000008000000}" name="Actual Result"/>
    <tableColumn id="9" xr3:uid="{00000000-0010-0000-0100-000009000000}" name="Severity"/>
    <tableColumn id="10" xr3:uid="{00000000-0010-0000-0100-00000A000000}" name="Priority"/>
    <tableColumn id="11" xr3:uid="{00000000-0010-0000-0100-00000B000000}" name="Reproducibility"/>
    <tableColumn id="12" xr3:uid="{00000000-0010-0000-0100-00000C000000}" name="Status"/>
    <tableColumn id="13" xr3:uid="{00000000-0010-0000-0100-00000D000000}" name="Evidence Reference"/>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showGridLines="0" tabSelected="1" topLeftCell="A10" workbookViewId="0">
      <selection activeCell="E23" sqref="E23"/>
    </sheetView>
  </sheetViews>
  <sheetFormatPr defaultRowHeight="13.8"/>
  <cols>
    <col min="1" max="1" width="19" customWidth="1"/>
    <col min="2" max="2" width="33.09765625" customWidth="1"/>
    <col min="3" max="3" width="3" customWidth="1"/>
    <col min="4" max="4" width="12" customWidth="1"/>
    <col min="5" max="8" width="22" customWidth="1"/>
  </cols>
  <sheetData>
    <row r="1" spans="1:8" ht="31.95" customHeight="1">
      <c r="A1" s="29" t="s">
        <v>278</v>
      </c>
      <c r="B1" s="29"/>
      <c r="C1" s="29"/>
      <c r="D1" s="29"/>
      <c r="E1" s="29"/>
      <c r="F1" s="29"/>
      <c r="G1" s="29"/>
      <c r="H1" s="29"/>
    </row>
    <row r="2" spans="1:8">
      <c r="A2" s="4"/>
      <c r="B2" s="4"/>
      <c r="C2" s="4"/>
      <c r="D2" s="4"/>
      <c r="E2" s="4"/>
      <c r="F2" s="4"/>
      <c r="G2" s="4"/>
      <c r="H2" s="4"/>
    </row>
    <row r="3" spans="1:8">
      <c r="A3" s="11" t="s">
        <v>0</v>
      </c>
      <c r="B3" s="12" t="s">
        <v>1</v>
      </c>
      <c r="C3" s="4"/>
      <c r="D3" s="30" t="s">
        <v>2</v>
      </c>
      <c r="E3" s="31"/>
      <c r="F3" s="31"/>
      <c r="G3" s="31"/>
      <c r="H3" s="32"/>
    </row>
    <row r="4" spans="1:8" ht="41.4">
      <c r="A4" s="15" t="s">
        <v>3</v>
      </c>
      <c r="B4" s="16" t="s">
        <v>4</v>
      </c>
      <c r="C4" s="4"/>
      <c r="D4" s="17" t="s">
        <v>5</v>
      </c>
      <c r="E4" s="4" t="s">
        <v>6</v>
      </c>
      <c r="F4" s="4"/>
      <c r="G4" s="4"/>
      <c r="H4" s="16"/>
    </row>
    <row r="5" spans="1:8" ht="27.6">
      <c r="A5" s="15" t="s">
        <v>7</v>
      </c>
      <c r="B5" s="16" t="s">
        <v>8</v>
      </c>
      <c r="C5" s="4"/>
      <c r="D5" s="17" t="s">
        <v>9</v>
      </c>
      <c r="E5" s="4" t="s">
        <v>10</v>
      </c>
      <c r="F5" s="4"/>
      <c r="G5" s="4"/>
      <c r="H5" s="16"/>
    </row>
    <row r="6" spans="1:8" ht="27.6">
      <c r="A6" s="15" t="s">
        <v>11</v>
      </c>
      <c r="B6" s="16"/>
      <c r="C6" s="4"/>
      <c r="D6" s="17" t="s">
        <v>12</v>
      </c>
      <c r="E6" s="4" t="s">
        <v>13</v>
      </c>
      <c r="F6" s="4"/>
      <c r="G6" s="4"/>
      <c r="H6" s="16"/>
    </row>
    <row r="7" spans="1:8" ht="55.2">
      <c r="A7" s="15" t="s">
        <v>14</v>
      </c>
      <c r="B7" s="16"/>
      <c r="C7" s="4"/>
      <c r="D7" s="17" t="s">
        <v>15</v>
      </c>
      <c r="E7" s="4" t="s">
        <v>16</v>
      </c>
      <c r="F7" s="4"/>
      <c r="G7" s="4"/>
      <c r="H7" s="16"/>
    </row>
    <row r="8" spans="1:8" ht="41.4">
      <c r="A8" s="15" t="s">
        <v>17</v>
      </c>
      <c r="B8" s="16" t="s">
        <v>279</v>
      </c>
      <c r="C8" s="4"/>
      <c r="D8" s="17" t="s">
        <v>18</v>
      </c>
      <c r="E8" s="4" t="s">
        <v>19</v>
      </c>
      <c r="F8" s="4"/>
      <c r="G8" s="4"/>
      <c r="H8" s="16"/>
    </row>
    <row r="9" spans="1:8" ht="41.4">
      <c r="A9" s="15" t="s">
        <v>20</v>
      </c>
      <c r="B9" s="16"/>
      <c r="C9" s="4"/>
      <c r="D9" s="17" t="s">
        <v>21</v>
      </c>
      <c r="E9" s="4" t="s">
        <v>22</v>
      </c>
      <c r="F9" s="4"/>
      <c r="G9" s="4"/>
      <c r="H9" s="16"/>
    </row>
    <row r="10" spans="1:8" ht="41.4">
      <c r="A10" s="18" t="s">
        <v>23</v>
      </c>
      <c r="B10" s="19"/>
      <c r="C10" s="4"/>
      <c r="D10" s="20" t="s">
        <v>24</v>
      </c>
      <c r="E10" s="21" t="s">
        <v>25</v>
      </c>
      <c r="F10" s="21"/>
      <c r="G10" s="21"/>
      <c r="H10" s="19"/>
    </row>
    <row r="11" spans="1:8">
      <c r="A11" s="4"/>
      <c r="B11" s="4"/>
      <c r="C11" s="4"/>
      <c r="D11" s="4"/>
      <c r="E11" s="4"/>
      <c r="F11" s="4"/>
      <c r="G11" s="4"/>
      <c r="H11" s="4"/>
    </row>
    <row r="12" spans="1:8">
      <c r="A12" s="33" t="s">
        <v>283</v>
      </c>
      <c r="B12" s="33"/>
      <c r="C12" s="33"/>
      <c r="D12" s="33"/>
      <c r="E12" s="33"/>
      <c r="F12" s="33"/>
      <c r="G12" s="33"/>
      <c r="H12" s="33"/>
    </row>
    <row r="13" spans="1:8">
      <c r="A13" s="4"/>
      <c r="B13" s="4"/>
      <c r="C13" s="4"/>
      <c r="D13" s="4"/>
      <c r="E13" s="4"/>
      <c r="F13" s="4"/>
      <c r="G13" s="4"/>
      <c r="H13" s="4"/>
    </row>
    <row r="14" spans="1:8">
      <c r="A14" s="13" t="s">
        <v>26</v>
      </c>
      <c r="B14" s="14" t="s">
        <v>27</v>
      </c>
      <c r="C14" s="4"/>
      <c r="D14" s="30" t="s">
        <v>28</v>
      </c>
      <c r="E14" s="31"/>
      <c r="F14" s="31"/>
      <c r="G14" s="31"/>
      <c r="H14" s="32"/>
    </row>
    <row r="15" spans="1:8" ht="41.4">
      <c r="A15" s="17" t="s">
        <v>29</v>
      </c>
      <c r="B15" s="22">
        <f>COUNTA('Exploratory Scenarios'!$A$5:$A$43)</f>
        <v>39</v>
      </c>
      <c r="C15" s="4"/>
      <c r="D15" s="17" t="s">
        <v>30</v>
      </c>
      <c r="E15" s="4" t="s">
        <v>31</v>
      </c>
      <c r="F15" s="4"/>
      <c r="G15" s="4"/>
      <c r="H15" s="16"/>
    </row>
    <row r="16" spans="1:8" ht="41.4">
      <c r="A16" s="17" t="s">
        <v>32</v>
      </c>
      <c r="B16" s="22">
        <f>COUNTIF('Exploratory Scenarios'!$I$5:$I$43,"Pass")</f>
        <v>34</v>
      </c>
      <c r="C16" s="4"/>
      <c r="D16" s="17" t="s">
        <v>33</v>
      </c>
      <c r="E16" s="4" t="s">
        <v>34</v>
      </c>
      <c r="F16" s="4"/>
      <c r="G16" s="4"/>
      <c r="H16" s="16"/>
    </row>
    <row r="17" spans="1:8" ht="55.2">
      <c r="A17" s="17" t="s">
        <v>35</v>
      </c>
      <c r="B17" s="22">
        <f>COUNTIF('Exploratory Scenarios'!$I$5:$I$43,"Fail")</f>
        <v>5</v>
      </c>
      <c r="C17" s="4"/>
      <c r="D17" s="17" t="s">
        <v>36</v>
      </c>
      <c r="E17" s="4" t="s">
        <v>37</v>
      </c>
      <c r="F17" s="4"/>
      <c r="G17" s="4"/>
      <c r="H17" s="16"/>
    </row>
    <row r="18" spans="1:8" ht="27.6">
      <c r="A18" s="17" t="s">
        <v>36</v>
      </c>
      <c r="B18" s="22">
        <f>COUNTIF('Exploratory Scenarios'!$I$5:$I$43,"Blocked")</f>
        <v>0</v>
      </c>
      <c r="C18" s="4"/>
      <c r="D18" s="17" t="s">
        <v>38</v>
      </c>
      <c r="E18" s="4" t="s">
        <v>39</v>
      </c>
      <c r="F18" s="4"/>
      <c r="G18" s="4"/>
      <c r="H18" s="16"/>
    </row>
    <row r="19" spans="1:8" ht="41.4">
      <c r="A19" s="20" t="s">
        <v>38</v>
      </c>
      <c r="B19" s="23">
        <f>COUNTIF('Exploratory Scenarios'!$I$5:$I$43,"Not Run")</f>
        <v>0</v>
      </c>
      <c r="C19" s="4"/>
      <c r="D19" s="20" t="s">
        <v>40</v>
      </c>
      <c r="E19" s="21" t="s">
        <v>41</v>
      </c>
      <c r="F19" s="21"/>
      <c r="G19" s="21"/>
      <c r="H19" s="19"/>
    </row>
  </sheetData>
  <mergeCells count="4">
    <mergeCell ref="A1:H1"/>
    <mergeCell ref="D3:H3"/>
    <mergeCell ref="A12:H12"/>
    <mergeCell ref="D14:H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4"/>
  <sheetViews>
    <sheetView showGridLines="0" zoomScale="56" workbookViewId="0">
      <selection activeCell="D4" sqref="D4"/>
    </sheetView>
  </sheetViews>
  <sheetFormatPr defaultRowHeight="14.4"/>
  <cols>
    <col min="1" max="1" width="12" style="37" customWidth="1"/>
    <col min="2" max="2" width="17" style="37" customWidth="1"/>
    <col min="3" max="3" width="11" style="37" customWidth="1"/>
    <col min="4" max="4" width="30" style="37" customWidth="1"/>
    <col min="5" max="5" width="22" style="37" customWidth="1"/>
    <col min="6" max="6" width="46" style="37" customWidth="1"/>
    <col min="7" max="7" width="48" style="37" customWidth="1"/>
    <col min="8" max="8" width="32" style="37" customWidth="1"/>
    <col min="9" max="9" width="38" style="37" customWidth="1"/>
    <col min="10" max="10" width="12" style="37" customWidth="1"/>
    <col min="11" max="11" width="13" style="37" customWidth="1"/>
    <col min="12" max="12" width="35" style="37" customWidth="1"/>
    <col min="13" max="16384" width="8.796875" style="37"/>
  </cols>
  <sheetData>
    <row r="1" spans="1:12" ht="31.95" customHeight="1">
      <c r="A1" s="36" t="s">
        <v>282</v>
      </c>
      <c r="B1" s="36"/>
      <c r="C1" s="36"/>
      <c r="D1" s="36"/>
      <c r="E1" s="36"/>
      <c r="F1" s="36"/>
      <c r="G1" s="36"/>
      <c r="H1" s="36"/>
      <c r="I1" s="36"/>
      <c r="J1" s="36"/>
      <c r="K1" s="36"/>
      <c r="L1" s="36"/>
    </row>
    <row r="2" spans="1:12" ht="8.4" customHeight="1">
      <c r="A2" s="38"/>
      <c r="B2" s="38"/>
      <c r="C2" s="38"/>
      <c r="D2" s="38"/>
      <c r="E2" s="38"/>
      <c r="F2" s="38"/>
      <c r="G2" s="38"/>
      <c r="H2" s="38"/>
      <c r="I2" s="38"/>
      <c r="J2" s="38"/>
      <c r="K2" s="38"/>
      <c r="L2" s="38"/>
    </row>
    <row r="3" spans="1:12">
      <c r="A3" s="39"/>
      <c r="B3" s="39"/>
      <c r="C3" s="39"/>
      <c r="D3" s="39"/>
      <c r="E3" s="39"/>
      <c r="F3" s="39"/>
      <c r="G3" s="39"/>
      <c r="H3" s="39"/>
      <c r="I3" s="39"/>
      <c r="J3" s="39"/>
      <c r="K3" s="39"/>
      <c r="L3" s="39"/>
    </row>
    <row r="4" spans="1:12" ht="25.2" customHeight="1">
      <c r="A4" s="40" t="s">
        <v>42</v>
      </c>
      <c r="B4" s="40" t="s">
        <v>43</v>
      </c>
      <c r="C4" s="40" t="s">
        <v>44</v>
      </c>
      <c r="D4" s="40" t="s">
        <v>313</v>
      </c>
      <c r="E4" s="40" t="s">
        <v>45</v>
      </c>
      <c r="F4" s="40" t="s">
        <v>46</v>
      </c>
      <c r="G4" s="40" t="s">
        <v>47</v>
      </c>
      <c r="H4" s="40" t="s">
        <v>48</v>
      </c>
      <c r="I4" s="40" t="s">
        <v>49</v>
      </c>
      <c r="J4" s="40" t="s">
        <v>50</v>
      </c>
      <c r="K4" s="40" t="s">
        <v>309</v>
      </c>
    </row>
    <row r="5" spans="1:12" ht="88.05" customHeight="1">
      <c r="A5" s="41" t="s">
        <v>51</v>
      </c>
      <c r="B5" s="41" t="s">
        <v>52</v>
      </c>
      <c r="C5" s="41" t="s">
        <v>53</v>
      </c>
      <c r="D5" s="42" t="s">
        <v>54</v>
      </c>
      <c r="E5" s="42" t="s">
        <v>55</v>
      </c>
      <c r="F5" s="42" t="s">
        <v>56</v>
      </c>
      <c r="G5" s="42" t="s">
        <v>57</v>
      </c>
      <c r="H5" s="50" t="s">
        <v>57</v>
      </c>
      <c r="I5" s="43" t="s">
        <v>30</v>
      </c>
      <c r="J5" s="42"/>
    </row>
    <row r="6" spans="1:12" ht="88.05" customHeight="1">
      <c r="A6" s="41" t="s">
        <v>58</v>
      </c>
      <c r="B6" s="41" t="s">
        <v>52</v>
      </c>
      <c r="C6" s="41" t="s">
        <v>59</v>
      </c>
      <c r="D6" s="42" t="s">
        <v>60</v>
      </c>
      <c r="E6" s="42" t="s">
        <v>61</v>
      </c>
      <c r="F6" s="42" t="s">
        <v>62</v>
      </c>
      <c r="G6" s="42" t="s">
        <v>63</v>
      </c>
      <c r="H6" s="44" t="s">
        <v>285</v>
      </c>
      <c r="I6" s="45" t="s">
        <v>33</v>
      </c>
      <c r="J6" s="44" t="s">
        <v>261</v>
      </c>
    </row>
    <row r="7" spans="1:12" ht="88.05" customHeight="1">
      <c r="A7" s="41" t="s">
        <v>64</v>
      </c>
      <c r="B7" s="41" t="s">
        <v>52</v>
      </c>
      <c r="C7" s="41" t="s">
        <v>59</v>
      </c>
      <c r="D7" s="42" t="s">
        <v>65</v>
      </c>
      <c r="E7" s="42" t="s">
        <v>61</v>
      </c>
      <c r="F7" s="42" t="s">
        <v>66</v>
      </c>
      <c r="G7" s="42" t="s">
        <v>67</v>
      </c>
      <c r="H7" s="50" t="s">
        <v>67</v>
      </c>
      <c r="I7" s="43" t="s">
        <v>30</v>
      </c>
      <c r="J7" s="42"/>
    </row>
    <row r="8" spans="1:12" ht="88.05" customHeight="1">
      <c r="A8" s="41" t="s">
        <v>68</v>
      </c>
      <c r="B8" s="41" t="s">
        <v>69</v>
      </c>
      <c r="C8" s="41" t="s">
        <v>59</v>
      </c>
      <c r="D8" s="42" t="s">
        <v>70</v>
      </c>
      <c r="E8" s="42" t="s">
        <v>71</v>
      </c>
      <c r="F8" s="42" t="s">
        <v>72</v>
      </c>
      <c r="G8" s="42" t="s">
        <v>73</v>
      </c>
      <c r="H8" s="44" t="s">
        <v>284</v>
      </c>
      <c r="I8" s="49" t="s">
        <v>33</v>
      </c>
      <c r="J8" s="44" t="s">
        <v>263</v>
      </c>
    </row>
    <row r="9" spans="1:12" ht="88.05" customHeight="1">
      <c r="A9" s="41" t="s">
        <v>74</v>
      </c>
      <c r="B9" s="41" t="s">
        <v>69</v>
      </c>
      <c r="C9" s="41" t="s">
        <v>59</v>
      </c>
      <c r="D9" s="42" t="s">
        <v>75</v>
      </c>
      <c r="E9" s="42" t="s">
        <v>76</v>
      </c>
      <c r="F9" s="42" t="s">
        <v>77</v>
      </c>
      <c r="G9" s="42" t="s">
        <v>78</v>
      </c>
      <c r="H9" s="50" t="s">
        <v>78</v>
      </c>
      <c r="I9" s="43" t="s">
        <v>30</v>
      </c>
      <c r="J9" s="42"/>
    </row>
    <row r="10" spans="1:12" ht="88.05" customHeight="1">
      <c r="A10" s="41" t="s">
        <v>79</v>
      </c>
      <c r="B10" s="41" t="s">
        <v>80</v>
      </c>
      <c r="C10" s="41" t="s">
        <v>81</v>
      </c>
      <c r="D10" s="42" t="s">
        <v>82</v>
      </c>
      <c r="E10" s="42" t="s">
        <v>83</v>
      </c>
      <c r="F10" s="42" t="s">
        <v>84</v>
      </c>
      <c r="G10" s="42" t="s">
        <v>85</v>
      </c>
      <c r="H10" s="50" t="s">
        <v>85</v>
      </c>
      <c r="I10" s="43" t="s">
        <v>30</v>
      </c>
      <c r="J10" s="42"/>
      <c r="K10" s="37" t="s">
        <v>277</v>
      </c>
    </row>
    <row r="11" spans="1:12" ht="88.05" customHeight="1">
      <c r="A11" s="41" t="s">
        <v>86</v>
      </c>
      <c r="B11" s="41" t="s">
        <v>80</v>
      </c>
      <c r="C11" s="41" t="s">
        <v>53</v>
      </c>
      <c r="D11" s="42" t="s">
        <v>87</v>
      </c>
      <c r="E11" s="42" t="s">
        <v>5</v>
      </c>
      <c r="F11" s="42" t="s">
        <v>88</v>
      </c>
      <c r="G11" s="42" t="s">
        <v>89</v>
      </c>
      <c r="H11" s="42" t="s">
        <v>89</v>
      </c>
      <c r="I11" s="43" t="s">
        <v>30</v>
      </c>
      <c r="J11" s="42"/>
      <c r="K11" s="37" t="s">
        <v>277</v>
      </c>
    </row>
    <row r="12" spans="1:12" ht="88.05" customHeight="1">
      <c r="A12" s="41" t="s">
        <v>90</v>
      </c>
      <c r="B12" s="41" t="s">
        <v>80</v>
      </c>
      <c r="C12" s="41" t="s">
        <v>53</v>
      </c>
      <c r="D12" s="42" t="s">
        <v>91</v>
      </c>
      <c r="E12" s="42" t="s">
        <v>18</v>
      </c>
      <c r="F12" s="42" t="s">
        <v>92</v>
      </c>
      <c r="G12" s="42" t="s">
        <v>93</v>
      </c>
      <c r="H12" s="42" t="s">
        <v>93</v>
      </c>
      <c r="I12" s="43" t="s">
        <v>30</v>
      </c>
      <c r="J12" s="42"/>
      <c r="K12" s="37" t="s">
        <v>277</v>
      </c>
    </row>
    <row r="13" spans="1:12" ht="88.05" customHeight="1">
      <c r="A13" s="41" t="s">
        <v>94</v>
      </c>
      <c r="B13" s="41" t="s">
        <v>80</v>
      </c>
      <c r="C13" s="41" t="s">
        <v>53</v>
      </c>
      <c r="D13" s="42" t="s">
        <v>95</v>
      </c>
      <c r="E13" s="42" t="s">
        <v>96</v>
      </c>
      <c r="F13" s="42" t="s">
        <v>97</v>
      </c>
      <c r="G13" s="42" t="s">
        <v>98</v>
      </c>
      <c r="H13" s="42" t="s">
        <v>98</v>
      </c>
      <c r="I13" s="43" t="s">
        <v>30</v>
      </c>
      <c r="J13" s="42"/>
      <c r="K13" s="37" t="s">
        <v>277</v>
      </c>
    </row>
    <row r="14" spans="1:12" ht="88.05" customHeight="1">
      <c r="A14" s="41" t="s">
        <v>99</v>
      </c>
      <c r="B14" s="41" t="s">
        <v>100</v>
      </c>
      <c r="C14" s="41" t="s">
        <v>81</v>
      </c>
      <c r="D14" s="42" t="s">
        <v>101</v>
      </c>
      <c r="E14" s="42" t="s">
        <v>102</v>
      </c>
      <c r="F14" s="42" t="s">
        <v>103</v>
      </c>
      <c r="G14" s="42" t="s">
        <v>104</v>
      </c>
      <c r="H14" s="42" t="s">
        <v>104</v>
      </c>
      <c r="I14" s="42" t="s">
        <v>30</v>
      </c>
      <c r="J14" s="42"/>
      <c r="K14" s="37" t="s">
        <v>277</v>
      </c>
    </row>
    <row r="15" spans="1:12" ht="88.05" customHeight="1">
      <c r="A15" s="41" t="s">
        <v>105</v>
      </c>
      <c r="B15" s="41" t="s">
        <v>80</v>
      </c>
      <c r="C15" s="41" t="s">
        <v>53</v>
      </c>
      <c r="D15" s="42" t="s">
        <v>106</v>
      </c>
      <c r="E15" s="42" t="s">
        <v>107</v>
      </c>
      <c r="F15" s="42" t="s">
        <v>108</v>
      </c>
      <c r="G15" s="42" t="s">
        <v>109</v>
      </c>
      <c r="H15" s="50" t="s">
        <v>109</v>
      </c>
      <c r="I15" s="52" t="s">
        <v>30</v>
      </c>
      <c r="J15" s="42"/>
      <c r="K15" s="37" t="s">
        <v>277</v>
      </c>
    </row>
    <row r="16" spans="1:12" ht="88.05" customHeight="1">
      <c r="A16" s="41" t="s">
        <v>110</v>
      </c>
      <c r="B16" s="41" t="s">
        <v>80</v>
      </c>
      <c r="C16" s="41" t="s">
        <v>53</v>
      </c>
      <c r="D16" s="42" t="s">
        <v>111</v>
      </c>
      <c r="E16" s="42" t="s">
        <v>112</v>
      </c>
      <c r="F16" s="42" t="s">
        <v>113</v>
      </c>
      <c r="G16" s="42" t="s">
        <v>114</v>
      </c>
      <c r="H16" s="50" t="s">
        <v>114</v>
      </c>
      <c r="I16" s="52" t="s">
        <v>30</v>
      </c>
      <c r="J16" s="42"/>
      <c r="K16" s="37" t="s">
        <v>277</v>
      </c>
    </row>
    <row r="17" spans="1:11" ht="88.05" customHeight="1">
      <c r="A17" s="41" t="s">
        <v>115</v>
      </c>
      <c r="B17" s="41" t="s">
        <v>116</v>
      </c>
      <c r="C17" s="41" t="s">
        <v>53</v>
      </c>
      <c r="D17" s="42" t="s">
        <v>117</v>
      </c>
      <c r="E17" s="42" t="s">
        <v>118</v>
      </c>
      <c r="F17" s="42" t="s">
        <v>119</v>
      </c>
      <c r="G17" s="42" t="s">
        <v>120</v>
      </c>
      <c r="H17" s="50" t="s">
        <v>120</v>
      </c>
      <c r="I17" s="52" t="s">
        <v>30</v>
      </c>
      <c r="J17" s="42"/>
      <c r="K17" s="37" t="s">
        <v>277</v>
      </c>
    </row>
    <row r="18" spans="1:11" ht="88.05" customHeight="1">
      <c r="A18" s="41" t="s">
        <v>121</v>
      </c>
      <c r="B18" s="41" t="s">
        <v>116</v>
      </c>
      <c r="C18" s="41" t="s">
        <v>53</v>
      </c>
      <c r="D18" s="42" t="s">
        <v>122</v>
      </c>
      <c r="E18" s="42" t="s">
        <v>123</v>
      </c>
      <c r="F18" s="42" t="s">
        <v>124</v>
      </c>
      <c r="G18" s="42" t="s">
        <v>125</v>
      </c>
      <c r="H18" s="50" t="s">
        <v>125</v>
      </c>
      <c r="I18" s="52" t="s">
        <v>30</v>
      </c>
      <c r="J18" s="42"/>
    </row>
    <row r="19" spans="1:11" ht="88.05" customHeight="1">
      <c r="A19" s="41" t="s">
        <v>126</v>
      </c>
      <c r="B19" s="41" t="s">
        <v>116</v>
      </c>
      <c r="C19" s="41" t="s">
        <v>53</v>
      </c>
      <c r="D19" s="42" t="s">
        <v>127</v>
      </c>
      <c r="E19" s="42" t="s">
        <v>128</v>
      </c>
      <c r="F19" s="42" t="s">
        <v>129</v>
      </c>
      <c r="G19" s="42" t="s">
        <v>130</v>
      </c>
      <c r="H19" s="50" t="s">
        <v>130</v>
      </c>
      <c r="I19" s="52" t="s">
        <v>30</v>
      </c>
      <c r="J19" s="42"/>
      <c r="K19" s="37" t="s">
        <v>277</v>
      </c>
    </row>
    <row r="20" spans="1:11" ht="88.05" customHeight="1">
      <c r="A20" s="41" t="s">
        <v>131</v>
      </c>
      <c r="B20" s="41" t="s">
        <v>116</v>
      </c>
      <c r="C20" s="41" t="s">
        <v>53</v>
      </c>
      <c r="D20" s="42" t="s">
        <v>132</v>
      </c>
      <c r="E20" s="42" t="s">
        <v>133</v>
      </c>
      <c r="F20" s="42" t="s">
        <v>134</v>
      </c>
      <c r="G20" s="42" t="s">
        <v>135</v>
      </c>
      <c r="H20" s="50" t="s">
        <v>135</v>
      </c>
      <c r="I20" s="52" t="s">
        <v>30</v>
      </c>
      <c r="J20" s="42"/>
      <c r="K20" s="37" t="s">
        <v>277</v>
      </c>
    </row>
    <row r="21" spans="1:11" ht="88.05" customHeight="1">
      <c r="A21" s="41" t="s">
        <v>136</v>
      </c>
      <c r="B21" s="41" t="s">
        <v>116</v>
      </c>
      <c r="C21" s="41" t="s">
        <v>81</v>
      </c>
      <c r="D21" s="42" t="s">
        <v>137</v>
      </c>
      <c r="E21" s="42" t="s">
        <v>138</v>
      </c>
      <c r="F21" s="42" t="s">
        <v>139</v>
      </c>
      <c r="G21" s="42" t="s">
        <v>140</v>
      </c>
      <c r="H21" s="50" t="s">
        <v>140</v>
      </c>
      <c r="I21" s="52" t="s">
        <v>30</v>
      </c>
      <c r="J21" s="42"/>
      <c r="K21" s="37" t="s">
        <v>277</v>
      </c>
    </row>
    <row r="22" spans="1:11" ht="88.05" customHeight="1">
      <c r="A22" s="41" t="s">
        <v>141</v>
      </c>
      <c r="B22" s="41" t="s">
        <v>116</v>
      </c>
      <c r="C22" s="41" t="s">
        <v>53</v>
      </c>
      <c r="D22" s="42" t="s">
        <v>142</v>
      </c>
      <c r="E22" s="42" t="s">
        <v>143</v>
      </c>
      <c r="F22" s="42" t="s">
        <v>144</v>
      </c>
      <c r="G22" s="42" t="s">
        <v>145</v>
      </c>
      <c r="H22" s="50" t="s">
        <v>145</v>
      </c>
      <c r="I22" s="52" t="s">
        <v>30</v>
      </c>
      <c r="J22" s="42"/>
      <c r="K22" s="37" t="s">
        <v>277</v>
      </c>
    </row>
    <row r="23" spans="1:11" ht="88.05" customHeight="1">
      <c r="A23" s="41" t="s">
        <v>146</v>
      </c>
      <c r="B23" s="41" t="s">
        <v>116</v>
      </c>
      <c r="C23" s="41" t="s">
        <v>53</v>
      </c>
      <c r="D23" s="42" t="s">
        <v>147</v>
      </c>
      <c r="E23" s="42" t="s">
        <v>148</v>
      </c>
      <c r="F23" s="42" t="s">
        <v>149</v>
      </c>
      <c r="G23" s="42" t="s">
        <v>150</v>
      </c>
      <c r="H23" s="50" t="s">
        <v>150</v>
      </c>
      <c r="I23" s="52" t="s">
        <v>30</v>
      </c>
      <c r="J23" s="42"/>
      <c r="K23" s="37" t="s">
        <v>277</v>
      </c>
    </row>
    <row r="24" spans="1:11" ht="88.05" customHeight="1">
      <c r="A24" s="41" t="s">
        <v>151</v>
      </c>
      <c r="B24" s="41" t="s">
        <v>116</v>
      </c>
      <c r="C24" s="41" t="s">
        <v>59</v>
      </c>
      <c r="D24" s="42" t="s">
        <v>152</v>
      </c>
      <c r="E24" s="42" t="s">
        <v>153</v>
      </c>
      <c r="F24" s="42" t="s">
        <v>310</v>
      </c>
      <c r="G24" s="42" t="s">
        <v>154</v>
      </c>
      <c r="H24" s="50" t="s">
        <v>154</v>
      </c>
      <c r="I24" s="52" t="s">
        <v>30</v>
      </c>
      <c r="J24" s="42"/>
      <c r="K24" s="37" t="s">
        <v>277</v>
      </c>
    </row>
    <row r="25" spans="1:11" ht="88.05" customHeight="1">
      <c r="A25" s="41" t="s">
        <v>155</v>
      </c>
      <c r="B25" s="41" t="s">
        <v>116</v>
      </c>
      <c r="C25" s="41" t="s">
        <v>59</v>
      </c>
      <c r="D25" s="42" t="s">
        <v>156</v>
      </c>
      <c r="E25" s="42" t="s">
        <v>157</v>
      </c>
      <c r="F25" s="42" t="s">
        <v>158</v>
      </c>
      <c r="G25" s="42" t="s">
        <v>159</v>
      </c>
      <c r="H25" s="50" t="s">
        <v>159</v>
      </c>
      <c r="I25" s="52" t="s">
        <v>30</v>
      </c>
      <c r="J25" s="42"/>
      <c r="K25" s="37" t="s">
        <v>277</v>
      </c>
    </row>
    <row r="26" spans="1:11" ht="88.05" customHeight="1">
      <c r="A26" s="41" t="s">
        <v>160</v>
      </c>
      <c r="B26" s="41" t="s">
        <v>116</v>
      </c>
      <c r="C26" s="41" t="s">
        <v>59</v>
      </c>
      <c r="D26" s="42" t="s">
        <v>161</v>
      </c>
      <c r="E26" s="42" t="s">
        <v>162</v>
      </c>
      <c r="F26" s="42" t="s">
        <v>163</v>
      </c>
      <c r="G26" s="42" t="s">
        <v>164</v>
      </c>
      <c r="H26" s="50" t="s">
        <v>164</v>
      </c>
      <c r="I26" s="52" t="s">
        <v>30</v>
      </c>
      <c r="J26" s="42"/>
      <c r="K26" s="37" t="s">
        <v>277</v>
      </c>
    </row>
    <row r="27" spans="1:11" ht="88.05" customHeight="1">
      <c r="A27" s="41" t="s">
        <v>165</v>
      </c>
      <c r="B27" s="41" t="s">
        <v>116</v>
      </c>
      <c r="C27" s="41" t="s">
        <v>59</v>
      </c>
      <c r="D27" s="42" t="s">
        <v>166</v>
      </c>
      <c r="E27" s="42" t="s">
        <v>18</v>
      </c>
      <c r="F27" s="42" t="s">
        <v>167</v>
      </c>
      <c r="G27" s="42" t="s">
        <v>168</v>
      </c>
      <c r="H27" s="50" t="s">
        <v>168</v>
      </c>
      <c r="I27" s="52" t="s">
        <v>30</v>
      </c>
      <c r="J27" s="42"/>
      <c r="K27" s="37" t="s">
        <v>277</v>
      </c>
    </row>
    <row r="28" spans="1:11" ht="88.05" customHeight="1">
      <c r="A28" s="41" t="s">
        <v>169</v>
      </c>
      <c r="B28" s="41" t="s">
        <v>170</v>
      </c>
      <c r="C28" s="41" t="s">
        <v>81</v>
      </c>
      <c r="D28" s="42" t="s">
        <v>171</v>
      </c>
      <c r="E28" s="42" t="s">
        <v>172</v>
      </c>
      <c r="F28" s="42" t="s">
        <v>173</v>
      </c>
      <c r="G28" s="42" t="s">
        <v>174</v>
      </c>
      <c r="H28" s="50" t="s">
        <v>174</v>
      </c>
      <c r="I28" s="52" t="s">
        <v>30</v>
      </c>
      <c r="J28" s="42"/>
      <c r="K28" s="37" t="s">
        <v>277</v>
      </c>
    </row>
    <row r="29" spans="1:11" ht="88.05" customHeight="1">
      <c r="A29" s="41" t="s">
        <v>175</v>
      </c>
      <c r="B29" s="41" t="s">
        <v>170</v>
      </c>
      <c r="C29" s="41" t="s">
        <v>81</v>
      </c>
      <c r="D29" s="42" t="s">
        <v>176</v>
      </c>
      <c r="E29" s="42" t="s">
        <v>177</v>
      </c>
      <c r="F29" s="42" t="s">
        <v>178</v>
      </c>
      <c r="G29" s="42" t="s">
        <v>179</v>
      </c>
      <c r="H29" s="50" t="s">
        <v>179</v>
      </c>
      <c r="I29" s="52" t="s">
        <v>30</v>
      </c>
      <c r="J29" s="42"/>
      <c r="K29" s="37" t="s">
        <v>277</v>
      </c>
    </row>
    <row r="30" spans="1:11" ht="88.05" customHeight="1">
      <c r="A30" s="41" t="s">
        <v>180</v>
      </c>
      <c r="B30" s="41" t="s">
        <v>181</v>
      </c>
      <c r="C30" s="41" t="s">
        <v>53</v>
      </c>
      <c r="D30" s="42" t="s">
        <v>182</v>
      </c>
      <c r="E30" s="42" t="s">
        <v>183</v>
      </c>
      <c r="F30" s="42" t="s">
        <v>184</v>
      </c>
      <c r="G30" s="42" t="s">
        <v>185</v>
      </c>
      <c r="H30" s="50" t="s">
        <v>185</v>
      </c>
      <c r="I30" s="52" t="s">
        <v>30</v>
      </c>
      <c r="J30" s="42"/>
      <c r="K30" s="37" t="s">
        <v>277</v>
      </c>
    </row>
    <row r="31" spans="1:11" ht="88.05" customHeight="1">
      <c r="A31" s="41" t="s">
        <v>186</v>
      </c>
      <c r="B31" s="41" t="s">
        <v>181</v>
      </c>
      <c r="C31" s="41" t="s">
        <v>59</v>
      </c>
      <c r="D31" s="42" t="s">
        <v>187</v>
      </c>
      <c r="E31" s="42" t="s">
        <v>188</v>
      </c>
      <c r="F31" s="42" t="s">
        <v>189</v>
      </c>
      <c r="G31" s="42" t="s">
        <v>190</v>
      </c>
      <c r="H31" s="50" t="s">
        <v>190</v>
      </c>
      <c r="I31" s="52" t="s">
        <v>30</v>
      </c>
      <c r="J31" s="42"/>
      <c r="K31" s="37" t="s">
        <v>277</v>
      </c>
    </row>
    <row r="32" spans="1:11" ht="88.05" customHeight="1">
      <c r="A32" s="41" t="s">
        <v>191</v>
      </c>
      <c r="B32" s="41" t="s">
        <v>100</v>
      </c>
      <c r="C32" s="41" t="s">
        <v>81</v>
      </c>
      <c r="D32" s="42" t="s">
        <v>192</v>
      </c>
      <c r="E32" s="42" t="s">
        <v>193</v>
      </c>
      <c r="F32" s="42" t="s">
        <v>194</v>
      </c>
      <c r="G32" s="42" t="s">
        <v>195</v>
      </c>
      <c r="H32" s="42"/>
      <c r="I32" s="42" t="s">
        <v>30</v>
      </c>
      <c r="J32" s="42"/>
      <c r="K32" s="37" t="s">
        <v>277</v>
      </c>
    </row>
    <row r="33" spans="1:11" ht="88.05" customHeight="1">
      <c r="A33" s="41" t="s">
        <v>196</v>
      </c>
      <c r="B33" s="41" t="s">
        <v>116</v>
      </c>
      <c r="C33" s="41" t="s">
        <v>53</v>
      </c>
      <c r="D33" s="42" t="s">
        <v>197</v>
      </c>
      <c r="E33" s="42" t="s">
        <v>198</v>
      </c>
      <c r="F33" s="42" t="s">
        <v>199</v>
      </c>
      <c r="G33" s="42" t="s">
        <v>200</v>
      </c>
      <c r="H33" s="42"/>
      <c r="I33" s="51" t="s">
        <v>30</v>
      </c>
      <c r="J33" s="42"/>
      <c r="K33" s="37" t="s">
        <v>277</v>
      </c>
    </row>
    <row r="34" spans="1:11" ht="88.05" customHeight="1">
      <c r="A34" s="41" t="s">
        <v>201</v>
      </c>
      <c r="B34" s="41" t="s">
        <v>202</v>
      </c>
      <c r="C34" s="41" t="s">
        <v>53</v>
      </c>
      <c r="D34" s="42" t="s">
        <v>203</v>
      </c>
      <c r="E34" s="42" t="s">
        <v>204</v>
      </c>
      <c r="F34" s="42" t="s">
        <v>205</v>
      </c>
      <c r="G34" s="42" t="s">
        <v>206</v>
      </c>
      <c r="H34" s="42"/>
      <c r="I34" s="51" t="s">
        <v>30</v>
      </c>
      <c r="J34" s="42"/>
      <c r="K34" s="37" t="s">
        <v>277</v>
      </c>
    </row>
    <row r="35" spans="1:11" ht="88.05" customHeight="1">
      <c r="A35" s="41" t="s">
        <v>207</v>
      </c>
      <c r="B35" s="41" t="s">
        <v>202</v>
      </c>
      <c r="C35" s="41" t="s">
        <v>53</v>
      </c>
      <c r="D35" s="42" t="s">
        <v>208</v>
      </c>
      <c r="E35" s="42" t="s">
        <v>209</v>
      </c>
      <c r="F35" s="42" t="s">
        <v>210</v>
      </c>
      <c r="G35" s="42" t="s">
        <v>211</v>
      </c>
      <c r="H35" s="44" t="s">
        <v>312</v>
      </c>
      <c r="I35" s="45" t="s">
        <v>33</v>
      </c>
      <c r="J35" s="44" t="s">
        <v>264</v>
      </c>
      <c r="K35" s="37" t="s">
        <v>277</v>
      </c>
    </row>
    <row r="36" spans="1:11" ht="88.05" customHeight="1">
      <c r="A36" s="41" t="s">
        <v>212</v>
      </c>
      <c r="B36" s="41" t="s">
        <v>202</v>
      </c>
      <c r="C36" s="41" t="s">
        <v>53</v>
      </c>
      <c r="D36" s="42" t="s">
        <v>213</v>
      </c>
      <c r="E36" s="42" t="s">
        <v>214</v>
      </c>
      <c r="F36" s="42" t="s">
        <v>210</v>
      </c>
      <c r="G36" s="42" t="s">
        <v>215</v>
      </c>
      <c r="H36" s="53" t="s">
        <v>311</v>
      </c>
      <c r="I36" s="45" t="s">
        <v>33</v>
      </c>
      <c r="J36" s="44" t="s">
        <v>265</v>
      </c>
      <c r="K36" s="37" t="s">
        <v>277</v>
      </c>
    </row>
    <row r="37" spans="1:11" ht="88.05" customHeight="1">
      <c r="A37" s="41" t="s">
        <v>216</v>
      </c>
      <c r="B37" s="41" t="s">
        <v>202</v>
      </c>
      <c r="C37" s="41" t="s">
        <v>59</v>
      </c>
      <c r="D37" s="42" t="s">
        <v>217</v>
      </c>
      <c r="E37" s="42" t="s">
        <v>218</v>
      </c>
      <c r="F37" s="42" t="s">
        <v>219</v>
      </c>
      <c r="G37" s="42" t="s">
        <v>220</v>
      </c>
      <c r="H37" s="42"/>
      <c r="I37" s="51" t="s">
        <v>30</v>
      </c>
      <c r="J37" s="42"/>
      <c r="K37" s="37" t="s">
        <v>277</v>
      </c>
    </row>
    <row r="38" spans="1:11" ht="88.05" customHeight="1">
      <c r="A38" s="41" t="s">
        <v>221</v>
      </c>
      <c r="B38" s="41" t="s">
        <v>52</v>
      </c>
      <c r="C38" s="41" t="s">
        <v>222</v>
      </c>
      <c r="D38" s="42" t="s">
        <v>223</v>
      </c>
      <c r="E38" s="42" t="s">
        <v>224</v>
      </c>
      <c r="F38" s="42" t="s">
        <v>225</v>
      </c>
      <c r="G38" s="42" t="s">
        <v>226</v>
      </c>
      <c r="H38" s="44" t="s">
        <v>302</v>
      </c>
      <c r="I38" s="45" t="s">
        <v>33</v>
      </c>
      <c r="J38" s="44" t="s">
        <v>266</v>
      </c>
      <c r="K38" s="37" t="s">
        <v>277</v>
      </c>
    </row>
    <row r="39" spans="1:11" ht="88.05" customHeight="1">
      <c r="A39" s="41" t="s">
        <v>227</v>
      </c>
      <c r="B39" s="41" t="s">
        <v>100</v>
      </c>
      <c r="C39" s="41" t="s">
        <v>81</v>
      </c>
      <c r="D39" s="42" t="s">
        <v>228</v>
      </c>
      <c r="E39" s="42" t="s">
        <v>102</v>
      </c>
      <c r="F39" s="42" t="s">
        <v>229</v>
      </c>
      <c r="G39" s="42" t="s">
        <v>230</v>
      </c>
      <c r="H39" s="50" t="s">
        <v>299</v>
      </c>
      <c r="I39" s="43" t="s">
        <v>30</v>
      </c>
      <c r="J39" s="42"/>
      <c r="K39" s="37" t="s">
        <v>277</v>
      </c>
    </row>
    <row r="40" spans="1:11" ht="88.05" customHeight="1">
      <c r="A40" s="41" t="s">
        <v>231</v>
      </c>
      <c r="B40" s="41" t="s">
        <v>232</v>
      </c>
      <c r="C40" s="41" t="s">
        <v>53</v>
      </c>
      <c r="D40" s="42" t="s">
        <v>233</v>
      </c>
      <c r="E40" s="42" t="s">
        <v>128</v>
      </c>
      <c r="F40" s="42" t="s">
        <v>234</v>
      </c>
      <c r="G40" s="42" t="s">
        <v>235</v>
      </c>
      <c r="H40" s="50" t="s">
        <v>300</v>
      </c>
      <c r="I40" s="43" t="s">
        <v>30</v>
      </c>
      <c r="J40" s="42"/>
      <c r="K40" s="37" t="s">
        <v>277</v>
      </c>
    </row>
    <row r="41" spans="1:11" ht="88.05" customHeight="1">
      <c r="A41" s="41" t="s">
        <v>236</v>
      </c>
      <c r="B41" s="41" t="s">
        <v>237</v>
      </c>
      <c r="C41" s="41" t="s">
        <v>59</v>
      </c>
      <c r="D41" s="42" t="s">
        <v>238</v>
      </c>
      <c r="E41" s="42" t="s">
        <v>239</v>
      </c>
      <c r="F41" s="42" t="s">
        <v>240</v>
      </c>
      <c r="G41" s="42" t="s">
        <v>241</v>
      </c>
      <c r="H41" s="50" t="s">
        <v>301</v>
      </c>
      <c r="I41" s="43" t="s">
        <v>30</v>
      </c>
      <c r="J41" s="42"/>
      <c r="K41" s="37" t="s">
        <v>277</v>
      </c>
    </row>
    <row r="42" spans="1:11" ht="88.05" customHeight="1">
      <c r="A42" s="41" t="s">
        <v>242</v>
      </c>
      <c r="B42" s="41" t="s">
        <v>243</v>
      </c>
      <c r="C42" s="41" t="s">
        <v>59</v>
      </c>
      <c r="D42" s="42" t="s">
        <v>244</v>
      </c>
      <c r="E42" s="42" t="s">
        <v>245</v>
      </c>
      <c r="F42" s="42" t="s">
        <v>246</v>
      </c>
      <c r="G42" s="42" t="s">
        <v>247</v>
      </c>
      <c r="H42" s="50" t="s">
        <v>247</v>
      </c>
      <c r="I42" s="43" t="s">
        <v>30</v>
      </c>
      <c r="J42" s="42"/>
      <c r="K42" s="37" t="s">
        <v>277</v>
      </c>
    </row>
    <row r="43" spans="1:11" ht="88.05" customHeight="1">
      <c r="A43" s="41" t="s">
        <v>248</v>
      </c>
      <c r="B43" s="41" t="s">
        <v>237</v>
      </c>
      <c r="C43" s="41" t="s">
        <v>59</v>
      </c>
      <c r="D43" s="42" t="s">
        <v>249</v>
      </c>
      <c r="E43" s="42" t="s">
        <v>250</v>
      </c>
      <c r="F43" s="42" t="s">
        <v>251</v>
      </c>
      <c r="G43" s="42" t="s">
        <v>252</v>
      </c>
      <c r="H43" s="50" t="s">
        <v>252</v>
      </c>
      <c r="I43" s="43" t="s">
        <v>30</v>
      </c>
      <c r="J43" s="42"/>
      <c r="K43" s="37" t="s">
        <v>277</v>
      </c>
    </row>
    <row r="44" spans="1:11" ht="13.8"/>
  </sheetData>
  <mergeCells count="2">
    <mergeCell ref="A1:L1"/>
    <mergeCell ref="A2:L2"/>
  </mergeCells>
  <conditionalFormatting sqref="A5:J43">
    <cfRule type="expression" dxfId="5" priority="4">
      <formula>$B5="Mandatory"</formula>
    </cfRule>
  </conditionalFormatting>
  <conditionalFormatting sqref="I5:I43">
    <cfRule type="containsText" dxfId="4" priority="1" operator="containsText" text="Pass"/>
    <cfRule type="containsText" dxfId="3" priority="2" operator="containsText" text="Fail"/>
    <cfRule type="containsText" dxfId="2" priority="3" operator="containsText" text="Blocked"/>
  </conditionalFormatting>
  <dataValidations count="2">
    <dataValidation type="list" sqref="I5:I43" xr:uid="{00000000-0002-0000-0100-000000000000}">
      <formula1>"Not Run,Pass,Fail,Blocked"</formula1>
    </dataValidation>
    <dataValidation type="list" sqref="C5:C43" xr:uid="{00000000-0002-0000-0100-000001000000}">
      <formula1>"Critical,High,Medium,Low"</formula1>
    </dataValidation>
  </dataValidations>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
  <sheetViews>
    <sheetView showGridLines="0" topLeftCell="B1" zoomScale="76" workbookViewId="0">
      <selection activeCell="G14" sqref="G14"/>
    </sheetView>
  </sheetViews>
  <sheetFormatPr defaultRowHeight="13.8"/>
  <cols>
    <col min="1" max="1" width="12" customWidth="1"/>
    <col min="2" max="2" width="66.796875" customWidth="1"/>
    <col min="3" max="3" width="18" customWidth="1"/>
    <col min="4" max="4" width="25" customWidth="1"/>
    <col min="5" max="8" width="36" customWidth="1"/>
    <col min="9" max="9" width="12.09765625" customWidth="1"/>
    <col min="10" max="10" width="11.796875" customWidth="1"/>
    <col min="11" max="11" width="14.59765625" customWidth="1"/>
    <col min="12" max="12" width="11.09765625" customWidth="1"/>
    <col min="13" max="13" width="17.5" customWidth="1"/>
  </cols>
  <sheetData>
    <row r="1" spans="1:13" ht="31.95" customHeight="1">
      <c r="A1" s="28" t="s">
        <v>281</v>
      </c>
      <c r="B1" s="28"/>
      <c r="C1" s="28"/>
      <c r="D1" s="28"/>
      <c r="E1" s="28"/>
      <c r="F1" s="28"/>
      <c r="G1" s="28"/>
      <c r="H1" s="28"/>
      <c r="I1" s="28"/>
      <c r="J1" s="28"/>
      <c r="K1" s="28"/>
      <c r="L1" s="28"/>
      <c r="M1" s="28"/>
    </row>
    <row r="2" spans="1:13" ht="14.4">
      <c r="A2" s="34"/>
      <c r="B2" s="34"/>
      <c r="C2" s="34"/>
      <c r="D2" s="34"/>
      <c r="E2" s="34"/>
      <c r="F2" s="34"/>
      <c r="G2" s="34"/>
      <c r="H2" s="34"/>
      <c r="I2" s="34"/>
      <c r="J2" s="34"/>
      <c r="K2" s="34"/>
      <c r="L2" s="34"/>
      <c r="M2" s="34"/>
    </row>
    <row r="3" spans="1:13" ht="14.4">
      <c r="A3" s="1"/>
      <c r="B3" s="1"/>
      <c r="C3" s="1"/>
      <c r="D3" s="1"/>
      <c r="E3" s="1"/>
      <c r="F3" s="1"/>
      <c r="G3" s="1"/>
      <c r="H3" s="1"/>
      <c r="I3" s="1"/>
      <c r="J3" s="1"/>
      <c r="K3" s="1"/>
      <c r="L3" s="1"/>
      <c r="M3" s="1"/>
    </row>
    <row r="4" spans="1:13">
      <c r="A4" s="2" t="s">
        <v>50</v>
      </c>
      <c r="B4" s="46" t="s">
        <v>253</v>
      </c>
      <c r="C4" s="46" t="s">
        <v>254</v>
      </c>
      <c r="D4" s="2" t="s">
        <v>255</v>
      </c>
      <c r="E4" s="2" t="s">
        <v>256</v>
      </c>
      <c r="F4" s="2" t="s">
        <v>257</v>
      </c>
      <c r="G4" s="2" t="s">
        <v>47</v>
      </c>
      <c r="H4" s="2" t="s">
        <v>48</v>
      </c>
      <c r="I4" s="2" t="s">
        <v>258</v>
      </c>
      <c r="J4" s="2" t="s">
        <v>44</v>
      </c>
      <c r="K4" s="2" t="s">
        <v>259</v>
      </c>
      <c r="L4" s="2" t="s">
        <v>49</v>
      </c>
      <c r="M4" s="2" t="s">
        <v>260</v>
      </c>
    </row>
    <row r="5" spans="1:13" ht="58.2" customHeight="1">
      <c r="A5" s="4" t="s">
        <v>261</v>
      </c>
      <c r="B5" t="s">
        <v>286</v>
      </c>
      <c r="C5" s="41" t="s">
        <v>58</v>
      </c>
      <c r="D5" s="48" t="s">
        <v>289</v>
      </c>
      <c r="E5" t="s">
        <v>290</v>
      </c>
      <c r="F5" t="s">
        <v>291</v>
      </c>
      <c r="G5" t="s">
        <v>287</v>
      </c>
      <c r="H5" s="47" t="s">
        <v>288</v>
      </c>
      <c r="I5" s="4" t="s">
        <v>222</v>
      </c>
      <c r="J5" s="4" t="s">
        <v>59</v>
      </c>
      <c r="K5" s="4" t="s">
        <v>292</v>
      </c>
      <c r="L5" s="4" t="s">
        <v>262</v>
      </c>
      <c r="M5" s="48" t="s">
        <v>293</v>
      </c>
    </row>
    <row r="6" spans="1:13" ht="73.2" customHeight="1">
      <c r="A6" s="4" t="s">
        <v>263</v>
      </c>
      <c r="B6" t="s">
        <v>296</v>
      </c>
      <c r="C6" s="41" t="s">
        <v>68</v>
      </c>
      <c r="D6" s="48" t="s">
        <v>289</v>
      </c>
      <c r="E6" t="s">
        <v>294</v>
      </c>
      <c r="F6" s="48" t="s">
        <v>295</v>
      </c>
      <c r="G6" t="s">
        <v>297</v>
      </c>
      <c r="H6" t="s">
        <v>298</v>
      </c>
      <c r="I6" s="4" t="s">
        <v>59</v>
      </c>
      <c r="J6" s="4" t="s">
        <v>59</v>
      </c>
      <c r="K6" s="4" t="s">
        <v>292</v>
      </c>
      <c r="L6" s="4" t="s">
        <v>262</v>
      </c>
      <c r="M6" s="48" t="s">
        <v>321</v>
      </c>
    </row>
    <row r="7" spans="1:13" ht="53.4" customHeight="1">
      <c r="A7" s="48" t="s">
        <v>264</v>
      </c>
      <c r="B7" s="48" t="s">
        <v>314</v>
      </c>
      <c r="C7" s="41" t="s">
        <v>207</v>
      </c>
      <c r="D7" s="48" t="s">
        <v>289</v>
      </c>
      <c r="E7" t="s">
        <v>304</v>
      </c>
      <c r="F7" s="48" t="s">
        <v>316</v>
      </c>
      <c r="G7" t="s">
        <v>318</v>
      </c>
      <c r="H7" t="s">
        <v>314</v>
      </c>
      <c r="I7" s="4" t="s">
        <v>59</v>
      </c>
      <c r="J7" s="4" t="s">
        <v>59</v>
      </c>
      <c r="K7" s="4" t="s">
        <v>292</v>
      </c>
      <c r="L7" s="4" t="s">
        <v>262</v>
      </c>
      <c r="M7" s="48" t="s">
        <v>308</v>
      </c>
    </row>
    <row r="8" spans="1:13" ht="76.2" customHeight="1">
      <c r="A8" s="48" t="s">
        <v>265</v>
      </c>
      <c r="B8" s="48" t="s">
        <v>315</v>
      </c>
      <c r="C8" s="41" t="s">
        <v>212</v>
      </c>
      <c r="D8" s="48" t="s">
        <v>289</v>
      </c>
      <c r="E8" t="s">
        <v>304</v>
      </c>
      <c r="F8" s="48" t="s">
        <v>317</v>
      </c>
      <c r="G8" t="s">
        <v>319</v>
      </c>
      <c r="H8" t="s">
        <v>320</v>
      </c>
      <c r="I8" s="4" t="s">
        <v>59</v>
      </c>
      <c r="J8" s="4" t="s">
        <v>59</v>
      </c>
      <c r="K8" s="4" t="s">
        <v>292</v>
      </c>
      <c r="L8" s="4" t="s">
        <v>262</v>
      </c>
      <c r="M8" s="48" t="s">
        <v>308</v>
      </c>
    </row>
    <row r="9" spans="1:13" ht="82.8" customHeight="1">
      <c r="A9" s="48" t="s">
        <v>266</v>
      </c>
      <c r="B9" s="48" t="s">
        <v>303</v>
      </c>
      <c r="C9" s="41" t="s">
        <v>221</v>
      </c>
      <c r="D9" s="48" t="s">
        <v>289</v>
      </c>
      <c r="E9" t="s">
        <v>304</v>
      </c>
      <c r="F9" t="s">
        <v>305</v>
      </c>
      <c r="G9" s="48" t="s">
        <v>306</v>
      </c>
      <c r="H9" s="48" t="s">
        <v>307</v>
      </c>
      <c r="I9" s="4" t="s">
        <v>222</v>
      </c>
      <c r="J9" s="4" t="s">
        <v>222</v>
      </c>
      <c r="K9" s="4" t="s">
        <v>292</v>
      </c>
      <c r="L9" s="4" t="s">
        <v>262</v>
      </c>
      <c r="M9" s="48" t="s">
        <v>308</v>
      </c>
    </row>
  </sheetData>
  <mergeCells count="2">
    <mergeCell ref="A1:M1"/>
    <mergeCell ref="A2:M2"/>
  </mergeCells>
  <conditionalFormatting sqref="C5:C8">
    <cfRule type="expression" dxfId="1" priority="2">
      <formula>$B5="Mandatory"</formula>
    </cfRule>
  </conditionalFormatting>
  <conditionalFormatting sqref="C9">
    <cfRule type="expression" dxfId="0" priority="1">
      <formula>$B9="Mandatory"</formula>
    </cfRule>
  </conditionalFormatting>
  <dataValidations count="4">
    <dataValidation type="list" sqref="I5:I9" xr:uid="{00000000-0002-0000-0200-000000000000}">
      <formula1>"Critical,High,Medium,Low"</formula1>
    </dataValidation>
    <dataValidation type="list" sqref="J5:J9" xr:uid="{00000000-0002-0000-0200-000001000000}">
      <formula1>"Urgent,High,Medium,Low"</formula1>
    </dataValidation>
    <dataValidation type="list" sqref="K5:K9" xr:uid="{00000000-0002-0000-0200-000002000000}">
      <formula1>"Always,Intermittent,Once"</formula1>
    </dataValidation>
    <dataValidation type="list" sqref="L5:L9" xr:uid="{00000000-0002-0000-0200-000003000000}">
      <formula1>"Open,In Review,Fixed,Retest,Closed,Rejected"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showGridLines="0" workbookViewId="0">
      <selection activeCell="B19" sqref="B19"/>
    </sheetView>
  </sheetViews>
  <sheetFormatPr defaultRowHeight="13.8"/>
  <cols>
    <col min="1" max="1" width="19" customWidth="1"/>
    <col min="2" max="2" width="52" customWidth="1"/>
    <col min="3" max="3" width="23" customWidth="1"/>
    <col min="4" max="4" width="48" customWidth="1"/>
  </cols>
  <sheetData>
    <row r="1" spans="1:4" ht="31.95" customHeight="1">
      <c r="A1" s="35" t="s">
        <v>280</v>
      </c>
      <c r="B1" s="35"/>
      <c r="C1" s="35"/>
      <c r="D1" s="35"/>
    </row>
    <row r="2" spans="1:4" ht="14.4">
      <c r="A2" s="3"/>
      <c r="B2" s="3"/>
      <c r="C2" s="3"/>
      <c r="D2" s="3"/>
    </row>
    <row r="3" spans="1:4" ht="14.4">
      <c r="A3" s="5" t="s">
        <v>258</v>
      </c>
      <c r="B3" s="6" t="s">
        <v>267</v>
      </c>
      <c r="C3" s="6" t="s">
        <v>44</v>
      </c>
      <c r="D3" s="7" t="s">
        <v>267</v>
      </c>
    </row>
    <row r="4" spans="1:4" ht="14.4">
      <c r="A4" s="24" t="s">
        <v>81</v>
      </c>
      <c r="B4" s="3" t="s">
        <v>268</v>
      </c>
      <c r="C4" s="25" t="s">
        <v>269</v>
      </c>
      <c r="D4" s="8" t="s">
        <v>270</v>
      </c>
    </row>
    <row r="5" spans="1:4" ht="14.4">
      <c r="A5" s="24" t="s">
        <v>53</v>
      </c>
      <c r="B5" s="3" t="s">
        <v>271</v>
      </c>
      <c r="C5" s="25" t="s">
        <v>53</v>
      </c>
      <c r="D5" s="8" t="s">
        <v>272</v>
      </c>
    </row>
    <row r="6" spans="1:4" ht="14.4">
      <c r="A6" s="24" t="s">
        <v>59</v>
      </c>
      <c r="B6" s="3" t="s">
        <v>273</v>
      </c>
      <c r="C6" s="25" t="s">
        <v>59</v>
      </c>
      <c r="D6" s="8" t="s">
        <v>274</v>
      </c>
    </row>
    <row r="7" spans="1:4" ht="14.4">
      <c r="A7" s="26" t="s">
        <v>222</v>
      </c>
      <c r="B7" s="10" t="s">
        <v>275</v>
      </c>
      <c r="C7" s="27" t="s">
        <v>222</v>
      </c>
      <c r="D7" s="9" t="s">
        <v>276</v>
      </c>
    </row>
    <row r="8" spans="1:4" ht="14.4">
      <c r="A8" s="3"/>
      <c r="B8" s="3"/>
      <c r="C8" s="3"/>
      <c r="D8" s="3"/>
    </row>
    <row r="9" spans="1:4" ht="14.4">
      <c r="A9" s="3"/>
      <c r="B9" s="3"/>
      <c r="C9" s="3"/>
      <c r="D9" s="3"/>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Session Guide</vt:lpstr>
      <vt:lpstr>Exploratory Scenarios</vt:lpstr>
      <vt:lpstr>Defect Log</vt:lpstr>
      <vt:lpstr>Reference 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Sandile Tukani</dc:creator>
  <cp:lastModifiedBy>Sandile Tukani</cp:lastModifiedBy>
  <dcterms:created xsi:type="dcterms:W3CDTF">2026-08-11T15:29:53Z</dcterms:created>
  <dcterms:modified xsi:type="dcterms:W3CDTF">2026-08-14T17:05:42Z</dcterms:modified>
</cp:coreProperties>
</file>